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Feuil1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1" i="1"/>
  <c r="S49"/>
  <c r="R49"/>
  <c r="Q49"/>
  <c r="O49"/>
  <c r="N49"/>
  <c r="L49"/>
  <c r="K49"/>
  <c r="I49"/>
  <c r="H49"/>
  <c r="F49"/>
  <c r="G49" s="1"/>
  <c r="E49"/>
  <c r="C49"/>
  <c r="B49"/>
  <c r="S48"/>
  <c r="P48"/>
  <c r="M48"/>
  <c r="J48"/>
  <c r="G48"/>
  <c r="D48"/>
  <c r="S47"/>
  <c r="P47"/>
  <c r="M47"/>
  <c r="J47"/>
  <c r="G47"/>
  <c r="D47"/>
  <c r="R46"/>
  <c r="Q46"/>
  <c r="O46"/>
  <c r="N46"/>
  <c r="L46"/>
  <c r="K46"/>
  <c r="I46"/>
  <c r="H46"/>
  <c r="F46"/>
  <c r="E46"/>
  <c r="C46"/>
  <c r="B46"/>
  <c r="S45"/>
  <c r="P45"/>
  <c r="M45"/>
  <c r="J45"/>
  <c r="G45"/>
  <c r="D45"/>
  <c r="S44"/>
  <c r="P44"/>
  <c r="M44"/>
  <c r="J44"/>
  <c r="G44"/>
  <c r="D44"/>
  <c r="S43"/>
  <c r="P43"/>
  <c r="M43"/>
  <c r="J43"/>
  <c r="G43"/>
  <c r="D43"/>
  <c r="R42"/>
  <c r="Q42"/>
  <c r="S42" s="1"/>
  <c r="O42"/>
  <c r="P42" s="1"/>
  <c r="N42"/>
  <c r="L42"/>
  <c r="K42"/>
  <c r="I42"/>
  <c r="J42" s="1"/>
  <c r="H42"/>
  <c r="F42"/>
  <c r="E42"/>
  <c r="C42"/>
  <c r="B42"/>
  <c r="S41"/>
  <c r="P41"/>
  <c r="M41"/>
  <c r="J41"/>
  <c r="G41"/>
  <c r="D41"/>
  <c r="S40"/>
  <c r="P40"/>
  <c r="M40"/>
  <c r="J40"/>
  <c r="G40"/>
  <c r="D40"/>
  <c r="R39"/>
  <c r="Q39"/>
  <c r="O39"/>
  <c r="N39"/>
  <c r="L39"/>
  <c r="K39"/>
  <c r="M39" s="1"/>
  <c r="I39"/>
  <c r="J39" s="1"/>
  <c r="H39"/>
  <c r="F39"/>
  <c r="G39" s="1"/>
  <c r="E39"/>
  <c r="C39"/>
  <c r="B39"/>
  <c r="S38"/>
  <c r="P38"/>
  <c r="M38"/>
  <c r="J38"/>
  <c r="G38"/>
  <c r="D38"/>
  <c r="S37"/>
  <c r="P37"/>
  <c r="M37"/>
  <c r="J37"/>
  <c r="G37"/>
  <c r="D37"/>
  <c r="S36"/>
  <c r="P36"/>
  <c r="M36"/>
  <c r="J36"/>
  <c r="G36"/>
  <c r="D36"/>
  <c r="S35"/>
  <c r="P35"/>
  <c r="M35"/>
  <c r="J35"/>
  <c r="G35"/>
  <c r="D35"/>
  <c r="R34"/>
  <c r="Q34"/>
  <c r="O34"/>
  <c r="P34" s="1"/>
  <c r="N34"/>
  <c r="L34"/>
  <c r="K34"/>
  <c r="I34"/>
  <c r="J34" s="1"/>
  <c r="H34"/>
  <c r="F34"/>
  <c r="G34" s="1"/>
  <c r="E34"/>
  <c r="C34"/>
  <c r="B34"/>
  <c r="S33"/>
  <c r="P33"/>
  <c r="M33"/>
  <c r="J33"/>
  <c r="G33"/>
  <c r="D33"/>
  <c r="R32"/>
  <c r="S32" s="1"/>
  <c r="Q32"/>
  <c r="O32"/>
  <c r="N32"/>
  <c r="L32"/>
  <c r="K32"/>
  <c r="I32"/>
  <c r="J32" s="1"/>
  <c r="H32"/>
  <c r="F32"/>
  <c r="E32"/>
  <c r="C32"/>
  <c r="B32"/>
  <c r="S31"/>
  <c r="P31"/>
  <c r="M31"/>
  <c r="J31"/>
  <c r="G31"/>
  <c r="D31"/>
  <c r="S30"/>
  <c r="P30"/>
  <c r="M30"/>
  <c r="J30"/>
  <c r="G30"/>
  <c r="D30"/>
  <c r="S29"/>
  <c r="P29"/>
  <c r="M29"/>
  <c r="J29"/>
  <c r="G29"/>
  <c r="D29"/>
  <c r="R28"/>
  <c r="S28" s="1"/>
  <c r="Q28"/>
  <c r="O28"/>
  <c r="P28" s="1"/>
  <c r="N28"/>
  <c r="L28"/>
  <c r="K28"/>
  <c r="I28"/>
  <c r="H28"/>
  <c r="F28"/>
  <c r="E28"/>
  <c r="C28"/>
  <c r="B28"/>
  <c r="S27"/>
  <c r="P27"/>
  <c r="M27"/>
  <c r="J27"/>
  <c r="G27"/>
  <c r="D27"/>
  <c r="S26"/>
  <c r="P26"/>
  <c r="M26"/>
  <c r="J26"/>
  <c r="G26"/>
  <c r="D26"/>
  <c r="S25"/>
  <c r="P25"/>
  <c r="M25"/>
  <c r="J25"/>
  <c r="G25"/>
  <c r="D25"/>
  <c r="S24"/>
  <c r="P24"/>
  <c r="M24"/>
  <c r="J24"/>
  <c r="G24"/>
  <c r="D24"/>
  <c r="S23"/>
  <c r="P23"/>
  <c r="M23"/>
  <c r="J23"/>
  <c r="G23"/>
  <c r="D23"/>
  <c r="S22"/>
  <c r="P22"/>
  <c r="M22"/>
  <c r="J22"/>
  <c r="G22"/>
  <c r="D22"/>
  <c r="S21"/>
  <c r="P21"/>
  <c r="M21"/>
  <c r="J21"/>
  <c r="G21"/>
  <c r="D21"/>
  <c r="R20"/>
  <c r="S20" s="1"/>
  <c r="Q20"/>
  <c r="O20"/>
  <c r="N20"/>
  <c r="L20"/>
  <c r="K20"/>
  <c r="I20"/>
  <c r="H20"/>
  <c r="F20"/>
  <c r="E20"/>
  <c r="C20"/>
  <c r="B20"/>
  <c r="S19"/>
  <c r="P19"/>
  <c r="M19"/>
  <c r="J19"/>
  <c r="G19"/>
  <c r="D19"/>
  <c r="S18"/>
  <c r="P18"/>
  <c r="M18"/>
  <c r="J18"/>
  <c r="G18"/>
  <c r="D18"/>
  <c r="S17"/>
  <c r="P17"/>
  <c r="M17"/>
  <c r="J17"/>
  <c r="G17"/>
  <c r="D17"/>
  <c r="S16"/>
  <c r="P16"/>
  <c r="M16"/>
  <c r="J16"/>
  <c r="G16"/>
  <c r="D16"/>
  <c r="R15"/>
  <c r="Q15"/>
  <c r="O15"/>
  <c r="N15"/>
  <c r="L15"/>
  <c r="K15"/>
  <c r="I15"/>
  <c r="H15"/>
  <c r="F15"/>
  <c r="E15"/>
  <c r="C15"/>
  <c r="B15"/>
  <c r="S14"/>
  <c r="P14"/>
  <c r="M14"/>
  <c r="J14"/>
  <c r="G14"/>
  <c r="D14"/>
  <c r="S13"/>
  <c r="P13"/>
  <c r="M13"/>
  <c r="J13"/>
  <c r="G13"/>
  <c r="D13"/>
  <c r="S12"/>
  <c r="P12"/>
  <c r="M12"/>
  <c r="J12"/>
  <c r="G12"/>
  <c r="D12"/>
  <c r="R11"/>
  <c r="S11" s="1"/>
  <c r="Q11"/>
  <c r="O11"/>
  <c r="N11"/>
  <c r="L11"/>
  <c r="K11"/>
  <c r="M11" s="1"/>
  <c r="I11"/>
  <c r="H11"/>
  <c r="F11"/>
  <c r="E11"/>
  <c r="C11"/>
  <c r="B11"/>
  <c r="S10"/>
  <c r="P10"/>
  <c r="M10"/>
  <c r="J10"/>
  <c r="G10"/>
  <c r="D10"/>
  <c r="S9"/>
  <c r="P9"/>
  <c r="M9"/>
  <c r="J9"/>
  <c r="G9"/>
  <c r="D9"/>
  <c r="S8"/>
  <c r="P8"/>
  <c r="M8"/>
  <c r="J8"/>
  <c r="G8"/>
  <c r="D8"/>
  <c r="G28" l="1"/>
  <c r="J28"/>
  <c r="M28"/>
  <c r="G20"/>
  <c r="P20"/>
  <c r="J20"/>
  <c r="M20"/>
  <c r="M15"/>
  <c r="J15"/>
  <c r="G15"/>
  <c r="P11"/>
  <c r="D15"/>
  <c r="P46"/>
  <c r="M46"/>
  <c r="M42"/>
  <c r="M34"/>
  <c r="P32"/>
  <c r="M32"/>
  <c r="G46"/>
  <c r="D42"/>
  <c r="G32"/>
  <c r="D49"/>
  <c r="H50"/>
  <c r="N50"/>
  <c r="G11"/>
  <c r="S15"/>
  <c r="S34"/>
  <c r="P39"/>
  <c r="J46"/>
  <c r="L50"/>
  <c r="R50"/>
  <c r="S50" s="1"/>
  <c r="F50"/>
  <c r="K50"/>
  <c r="Q50"/>
  <c r="D11"/>
  <c r="J11"/>
  <c r="P15"/>
  <c r="D20"/>
  <c r="D28"/>
  <c r="S39"/>
  <c r="G42"/>
  <c r="S46"/>
  <c r="J49"/>
  <c r="P49"/>
  <c r="E50"/>
  <c r="D46"/>
  <c r="D39"/>
  <c r="D34"/>
  <c r="B50"/>
  <c r="D32"/>
  <c r="M49"/>
  <c r="C50"/>
  <c r="O50"/>
  <c r="I50"/>
  <c r="G50" l="1"/>
  <c r="P50"/>
  <c r="J50"/>
  <c r="M50"/>
  <c r="D50"/>
</calcChain>
</file>

<file path=xl/sharedStrings.xml><?xml version="1.0" encoding="utf-8"?>
<sst xmlns="http://schemas.openxmlformats.org/spreadsheetml/2006/main" count="69" uniqueCount="64">
  <si>
    <t>SYNTHÈSE - INDICATEURS PEDAGOGIQUES-EST: LYCEE DE MOKOLO 4 BERTOUA / DEPARTEMENT ........................................…</t>
  </si>
  <si>
    <t>CLASSES/NIVEAU</t>
  </si>
  <si>
    <t>COUVERTURE DES HEURES</t>
  </si>
  <si>
    <t>COUVERTURE DES PROGRAMMES</t>
  </si>
  <si>
    <t>REALISATION DES TRAVAUX PRATIQUES</t>
  </si>
  <si>
    <t>Taux de réussite des élèves</t>
  </si>
  <si>
    <t>HEURES DUES</t>
  </si>
  <si>
    <t>HEURES FAITES</t>
  </si>
  <si>
    <t>%</t>
  </si>
  <si>
    <t xml:space="preserve">NBRE DE LEÇONS PREVUS </t>
  </si>
  <si>
    <t>NBRE DE LEÇONS FAITES</t>
  </si>
  <si>
    <t>NBRE DE LEÇONS DIGITAL</t>
  </si>
  <si>
    <t>Nbre de TP prévus</t>
  </si>
  <si>
    <t>Nbre de TP réalisés</t>
  </si>
  <si>
    <t>Nbre de TP digitalisés prévus</t>
  </si>
  <si>
    <t>Nbre de TP digitalisés réalisés</t>
  </si>
  <si>
    <t>Eff.</t>
  </si>
  <si>
    <t>MOY ≥ 10</t>
  </si>
  <si>
    <t>Taux(%)</t>
  </si>
  <si>
    <t xml:space="preserve">PREVUES </t>
  </si>
  <si>
    <t>FAITES</t>
  </si>
  <si>
    <t>6ieme A</t>
  </si>
  <si>
    <t>6ieme B</t>
  </si>
  <si>
    <t>6ieme BIL</t>
  </si>
  <si>
    <r>
      <rPr>
        <b/>
        <sz val="9"/>
        <color rgb="FF000000"/>
        <rFont val="Agency FB"/>
        <family val="2"/>
        <charset val="1"/>
      </rPr>
      <t>TOTAL NIV 6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</si>
  <si>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5ieme A</t>
  </si>
  <si>
    <t>5ieme B</t>
  </si>
  <si>
    <t>5ieme BIL</t>
  </si>
  <si>
    <r>
      <rPr>
        <b/>
        <sz val="9"/>
        <color rgb="FF000000"/>
        <rFont val="Agency FB"/>
        <family val="2"/>
        <charset val="1"/>
      </rPr>
      <t>TOTAL NIV 5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</si>
  <si>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4ieme ALL</t>
  </si>
  <si>
    <t>4ieme ESP</t>
  </si>
  <si>
    <t>4ieme CH</t>
  </si>
  <si>
    <t>4ieme BIL</t>
  </si>
  <si>
    <r>
      <rPr>
        <b/>
        <sz val="9"/>
        <color rgb="FF000000"/>
        <rFont val="Agency FB"/>
        <family val="2"/>
        <charset val="1"/>
      </rPr>
      <t>TOTAL NIV 4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</si>
  <si>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3ieme ALL</t>
  </si>
  <si>
    <t>3ieme ESP1</t>
  </si>
  <si>
    <t>3ieme ESP2</t>
  </si>
  <si>
    <t>3ieme CH</t>
  </si>
  <si>
    <t>3ieme Bil ALL</t>
  </si>
  <si>
    <t>3ieme Bil ESP</t>
  </si>
  <si>
    <t>3ieme Bil CH</t>
  </si>
  <si>
    <r>
      <rPr>
        <b/>
        <sz val="9"/>
        <color rgb="FF000000"/>
        <rFont val="Agency FB"/>
        <family val="2"/>
        <charset val="1"/>
      </rPr>
      <t>TOTAL NIV 3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</si>
  <si>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2nd A4 ESP</t>
  </si>
  <si>
    <t>2nd A4 ALL</t>
  </si>
  <si>
    <t>2nd A4 CH</t>
  </si>
  <si>
    <t>TOTAL NIV 2nd Litt</t>
  </si>
  <si>
    <t>2nd C</t>
  </si>
  <si>
    <t>TOTAL NIV 2nd Sc</t>
  </si>
  <si>
    <t>1ere A4 ALL</t>
  </si>
  <si>
    <t>1ere A4 ESP1</t>
  </si>
  <si>
    <t>1ere A4 ESP2</t>
  </si>
  <si>
    <t>1ere A4 CH</t>
  </si>
  <si>
    <t>TOTAL NIV 1ere Litt</t>
  </si>
  <si>
    <t>1ere C</t>
  </si>
  <si>
    <t>1ere D</t>
  </si>
  <si>
    <t>TOTAL NIV 1ere Sc</t>
  </si>
  <si>
    <t>Tle A4 ALL</t>
  </si>
  <si>
    <t>Tle A4 ESP</t>
  </si>
  <si>
    <t>Tle A4 CH</t>
  </si>
  <si>
    <t>TOTAL NIV Tle Litt</t>
  </si>
  <si>
    <t>Tle C</t>
  </si>
  <si>
    <t>Tle D</t>
  </si>
  <si>
    <t>TOTAL NIV Tle Sc</t>
  </si>
  <si>
    <t>TOTAL  G</t>
  </si>
</sst>
</file>

<file path=xl/styles.xml><?xml version="1.0" encoding="utf-8"?>
<styleSheet xmlns="http://schemas.openxmlformats.org/spreadsheetml/2006/main">
  <fonts count="20">
    <font>
      <sz val="11"/>
      <color rgb="FF000000"/>
      <name val="Calibri"/>
      <family val="2"/>
      <charset val="1"/>
    </font>
    <font>
      <b/>
      <sz val="16"/>
      <color rgb="FF000000"/>
      <name val="Agency FB"/>
      <family val="2"/>
      <charset val="1"/>
    </font>
    <font>
      <b/>
      <sz val="9"/>
      <color rgb="FF000000"/>
      <name val="Arial Narrow"/>
      <family val="2"/>
      <charset val="1"/>
    </font>
    <font>
      <b/>
      <sz val="12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gency FB"/>
      <family val="2"/>
      <charset val="1"/>
    </font>
    <font>
      <sz val="12"/>
      <color rgb="FF000000"/>
      <name val="Agency FB"/>
      <family val="2"/>
      <charset val="1"/>
    </font>
    <font>
      <b/>
      <sz val="12"/>
      <color rgb="FF000000"/>
      <name val="Agency FB"/>
      <family val="2"/>
      <charset val="1"/>
    </font>
    <font>
      <b/>
      <i/>
      <sz val="12"/>
      <color rgb="FF00B0F0"/>
      <name val="Agency FB"/>
      <family val="2"/>
      <charset val="1"/>
    </font>
    <font>
      <b/>
      <sz val="11"/>
      <color rgb="FF000000"/>
      <name val="Agency FB"/>
      <family val="2"/>
      <charset val="1"/>
    </font>
    <font>
      <b/>
      <sz val="9"/>
      <color rgb="FF000000"/>
      <name val="Agency FB"/>
      <family val="2"/>
      <charset val="1"/>
    </font>
    <font>
      <b/>
      <vertAlign val="superscript"/>
      <sz val="9"/>
      <color rgb="FF000000"/>
      <name val="Agency FB"/>
      <family val="2"/>
      <charset val="1"/>
    </font>
    <font>
      <sz val="11"/>
      <color rgb="FF000000"/>
      <name val="Agency FB"/>
      <family val="2"/>
      <charset val="1"/>
    </font>
    <font>
      <b/>
      <sz val="10"/>
      <color rgb="FF000000"/>
      <name val="Agency FB"/>
      <family val="2"/>
      <charset val="1"/>
    </font>
    <font>
      <b/>
      <i/>
      <sz val="11"/>
      <color rgb="FF000000"/>
      <name val="Agency FB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Tek"/>
    </font>
    <font>
      <b/>
      <sz val="11"/>
      <color rgb="FF000000"/>
      <name val="Arial"/>
      <family val="2"/>
    </font>
    <font>
      <b/>
      <i/>
      <sz val="12"/>
      <color rgb="FF00B0F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D8D8D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2" fontId="9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0" fillId="0" borderId="8" xfId="0" applyBorder="1"/>
    <xf numFmtId="2" fontId="0" fillId="0" borderId="8" xfId="0" applyNumberFormat="1" applyBorder="1"/>
    <xf numFmtId="0" fontId="10" fillId="0" borderId="14" xfId="0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1" fillId="4" borderId="11" xfId="0" applyFont="1" applyFill="1" applyBorder="1" applyAlignment="1">
      <alignment vertical="center" wrapText="1"/>
    </xf>
    <xf numFmtId="3" fontId="7" fillId="4" borderId="15" xfId="0" applyNumberFormat="1" applyFont="1" applyFill="1" applyBorder="1" applyAlignment="1">
      <alignment horizontal="center" vertical="center" wrapText="1"/>
    </xf>
    <xf numFmtId="2" fontId="9" fillId="4" borderId="12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2" fontId="9" fillId="4" borderId="13" xfId="0" applyNumberFormat="1" applyFont="1" applyFill="1" applyBorder="1" applyAlignment="1">
      <alignment horizontal="center" vertical="center"/>
    </xf>
    <xf numFmtId="0" fontId="0" fillId="4" borderId="8" xfId="0" applyFill="1" applyBorder="1"/>
    <xf numFmtId="2" fontId="0" fillId="4" borderId="8" xfId="0" applyNumberFormat="1" applyFill="1" applyBorder="1"/>
    <xf numFmtId="0" fontId="13" fillId="4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0" fillId="4" borderId="0" xfId="0" applyFill="1"/>
    <xf numFmtId="0" fontId="7" fillId="0" borderId="15" xfId="0" applyFont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8" fillId="5" borderId="12" xfId="0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2" fontId="9" fillId="5" borderId="13" xfId="0" applyNumberFormat="1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0" fillId="5" borderId="0" xfId="0" applyFill="1"/>
    <xf numFmtId="0" fontId="16" fillId="5" borderId="8" xfId="0" applyFont="1" applyFill="1" applyBorder="1"/>
    <xf numFmtId="2" fontId="16" fillId="5" borderId="8" xfId="0" applyNumberFormat="1" applyFont="1" applyFill="1" applyBorder="1"/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right" wrapText="1"/>
    </xf>
    <xf numFmtId="0" fontId="18" fillId="6" borderId="17" xfId="0" applyFont="1" applyFill="1" applyBorder="1" applyAlignment="1">
      <alignment horizontal="right" wrapText="1"/>
    </xf>
    <xf numFmtId="0" fontId="10" fillId="4" borderId="18" xfId="0" applyFont="1" applyFill="1" applyBorder="1" applyAlignment="1">
      <alignment horizontal="center" vertical="center"/>
    </xf>
    <xf numFmtId="2" fontId="19" fillId="0" borderId="8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topLeftCell="A33" zoomScale="90" zoomScaleNormal="90" workbookViewId="0">
      <selection activeCell="L53" sqref="L53"/>
    </sheetView>
  </sheetViews>
  <sheetFormatPr baseColWidth="10" defaultColWidth="10.5703125" defaultRowHeight="15"/>
  <cols>
    <col min="4" max="4" width="11.85546875" customWidth="1"/>
    <col min="13" max="13" width="12.5703125" customWidth="1"/>
    <col min="16" max="16" width="11.5703125" customWidth="1"/>
  </cols>
  <sheetData>
    <row r="1" spans="1:19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9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9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9.5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1"/>
      <c r="R4" s="1"/>
      <c r="S4" s="1"/>
    </row>
    <row r="5" spans="1:19" ht="15.75" customHeight="1">
      <c r="A5" s="44" t="s">
        <v>1</v>
      </c>
      <c r="B5" s="45" t="s">
        <v>2</v>
      </c>
      <c r="C5" s="45"/>
      <c r="D5" s="45"/>
      <c r="E5" s="44" t="s">
        <v>3</v>
      </c>
      <c r="F5" s="44"/>
      <c r="G5" s="44"/>
      <c r="H5" s="44"/>
      <c r="I5" s="44"/>
      <c r="J5" s="44"/>
      <c r="K5" s="46" t="s">
        <v>4</v>
      </c>
      <c r="L5" s="46"/>
      <c r="M5" s="46"/>
      <c r="N5" s="46"/>
      <c r="O5" s="46"/>
      <c r="P5" s="46"/>
      <c r="Q5" s="48" t="s">
        <v>5</v>
      </c>
      <c r="R5" s="48"/>
      <c r="S5" s="48"/>
    </row>
    <row r="6" spans="1:19" ht="40.5" customHeight="1">
      <c r="A6" s="44"/>
      <c r="B6" s="44" t="s">
        <v>6</v>
      </c>
      <c r="C6" s="44" t="s">
        <v>7</v>
      </c>
      <c r="D6" s="44" t="s">
        <v>8</v>
      </c>
      <c r="E6" s="44" t="s">
        <v>9</v>
      </c>
      <c r="F6" s="44" t="s">
        <v>10</v>
      </c>
      <c r="G6" s="49" t="s">
        <v>8</v>
      </c>
      <c r="H6" s="2" t="s">
        <v>11</v>
      </c>
      <c r="I6" s="2" t="s">
        <v>11</v>
      </c>
      <c r="J6" s="50" t="s">
        <v>8</v>
      </c>
      <c r="K6" s="51" t="s">
        <v>12</v>
      </c>
      <c r="L6" s="51" t="s">
        <v>13</v>
      </c>
      <c r="M6" s="52" t="s">
        <v>8</v>
      </c>
      <c r="N6" s="51" t="s">
        <v>14</v>
      </c>
      <c r="O6" s="51" t="s">
        <v>15</v>
      </c>
      <c r="P6" s="52" t="s">
        <v>8</v>
      </c>
      <c r="Q6" s="42" t="s">
        <v>16</v>
      </c>
      <c r="R6" s="41" t="s">
        <v>17</v>
      </c>
      <c r="S6" s="47" t="s">
        <v>18</v>
      </c>
    </row>
    <row r="7" spans="1:19">
      <c r="A7" s="44"/>
      <c r="B7" s="44"/>
      <c r="C7" s="44"/>
      <c r="D7" s="44"/>
      <c r="E7" s="44"/>
      <c r="F7" s="44"/>
      <c r="G7" s="49"/>
      <c r="H7" s="2" t="s">
        <v>19</v>
      </c>
      <c r="I7" s="2" t="s">
        <v>20</v>
      </c>
      <c r="J7" s="50"/>
      <c r="K7" s="51"/>
      <c r="L7" s="51"/>
      <c r="M7" s="52"/>
      <c r="N7" s="51"/>
      <c r="O7" s="51"/>
      <c r="P7" s="52"/>
      <c r="Q7" s="42"/>
      <c r="R7" s="42"/>
      <c r="S7" s="42"/>
    </row>
    <row r="8" spans="1:19" ht="16.5" thickBot="1">
      <c r="A8" s="3" t="s">
        <v>21</v>
      </c>
      <c r="B8" s="4">
        <v>50</v>
      </c>
      <c r="C8" s="5">
        <v>32</v>
      </c>
      <c r="D8" s="6">
        <f t="shared" ref="D8:D50" si="0">C8/B8*100</f>
        <v>64</v>
      </c>
      <c r="E8" s="7">
        <v>22</v>
      </c>
      <c r="F8" s="8">
        <v>14</v>
      </c>
      <c r="G8" s="6">
        <f t="shared" ref="G8:G50" si="1">F8/E8*100</f>
        <v>63.636363636363633</v>
      </c>
      <c r="H8" s="7">
        <v>11</v>
      </c>
      <c r="I8" s="8">
        <v>5</v>
      </c>
      <c r="J8" s="9">
        <f t="shared" ref="J8:J50" si="2">I8/H8*100</f>
        <v>45.454545454545453</v>
      </c>
      <c r="K8" s="10">
        <v>9</v>
      </c>
      <c r="L8" s="10">
        <v>4</v>
      </c>
      <c r="M8" s="11">
        <f t="shared" ref="M8:M50" si="3">L8*100/K8</f>
        <v>44.444444444444443</v>
      </c>
      <c r="N8" s="10">
        <v>9</v>
      </c>
      <c r="O8" s="10">
        <v>4</v>
      </c>
      <c r="P8" s="11">
        <f t="shared" ref="P8:P50" si="4">O8*100/N8</f>
        <v>44.444444444444443</v>
      </c>
      <c r="Q8" s="12"/>
      <c r="R8" s="12"/>
      <c r="S8" s="12" t="e">
        <f t="shared" ref="S8:S50" si="5">R8*100/Q8</f>
        <v>#DIV/0!</v>
      </c>
    </row>
    <row r="9" spans="1:19" ht="16.5" thickBot="1">
      <c r="A9" s="3" t="s">
        <v>22</v>
      </c>
      <c r="B9" s="4">
        <v>50</v>
      </c>
      <c r="C9" s="5">
        <v>32</v>
      </c>
      <c r="D9" s="6">
        <f t="shared" si="0"/>
        <v>64</v>
      </c>
      <c r="E9" s="7">
        <v>22</v>
      </c>
      <c r="F9" s="8">
        <v>14</v>
      </c>
      <c r="G9" s="6">
        <f t="shared" si="1"/>
        <v>63.636363636363633</v>
      </c>
      <c r="H9" s="7">
        <v>11</v>
      </c>
      <c r="I9" s="8">
        <v>5</v>
      </c>
      <c r="J9" s="9">
        <f t="shared" si="2"/>
        <v>45.454545454545453</v>
      </c>
      <c r="K9" s="10">
        <v>9</v>
      </c>
      <c r="L9" s="10">
        <v>4</v>
      </c>
      <c r="M9" s="11">
        <f t="shared" si="3"/>
        <v>44.444444444444443</v>
      </c>
      <c r="N9" s="10">
        <v>9</v>
      </c>
      <c r="O9" s="10">
        <v>4</v>
      </c>
      <c r="P9" s="11">
        <f t="shared" si="4"/>
        <v>44.444444444444443</v>
      </c>
      <c r="Q9" s="12"/>
      <c r="R9" s="12"/>
      <c r="S9" s="12" t="e">
        <f t="shared" si="5"/>
        <v>#DIV/0!</v>
      </c>
    </row>
    <row r="10" spans="1:19" ht="16.5" thickBot="1">
      <c r="A10" s="3" t="s">
        <v>23</v>
      </c>
      <c r="B10" s="4">
        <v>50</v>
      </c>
      <c r="C10" s="5">
        <v>32</v>
      </c>
      <c r="D10" s="6">
        <f t="shared" si="0"/>
        <v>64</v>
      </c>
      <c r="E10" s="7">
        <v>22</v>
      </c>
      <c r="F10" s="8">
        <v>14</v>
      </c>
      <c r="G10" s="6">
        <f t="shared" si="1"/>
        <v>63.636363636363633</v>
      </c>
      <c r="H10" s="7">
        <v>11</v>
      </c>
      <c r="I10" s="8">
        <v>5</v>
      </c>
      <c r="J10" s="9">
        <f t="shared" si="2"/>
        <v>45.454545454545453</v>
      </c>
      <c r="K10" s="10">
        <v>9</v>
      </c>
      <c r="L10" s="10">
        <v>4</v>
      </c>
      <c r="M10" s="11">
        <f t="shared" si="3"/>
        <v>44.444444444444443</v>
      </c>
      <c r="N10" s="10">
        <v>9</v>
      </c>
      <c r="O10" s="10">
        <v>4</v>
      </c>
      <c r="P10" s="11">
        <f t="shared" si="4"/>
        <v>44.444444444444443</v>
      </c>
      <c r="Q10" s="12"/>
      <c r="R10" s="12"/>
      <c r="S10" s="12" t="e">
        <f t="shared" si="5"/>
        <v>#DIV/0!</v>
      </c>
    </row>
    <row r="11" spans="1:19" s="26" customFormat="1" ht="16.5" thickBot="1">
      <c r="A11" s="17" t="s">
        <v>24</v>
      </c>
      <c r="B11" s="18">
        <f>SUM(B8:B10)</f>
        <v>150</v>
      </c>
      <c r="C11" s="18">
        <f>SUM(C8:C10)</f>
        <v>96</v>
      </c>
      <c r="D11" s="19">
        <f t="shared" si="0"/>
        <v>64</v>
      </c>
      <c r="E11" s="20">
        <f>SUM(E8:E10)</f>
        <v>66</v>
      </c>
      <c r="F11" s="20">
        <f>SUM(F8:F10)</f>
        <v>42</v>
      </c>
      <c r="G11" s="19">
        <f t="shared" si="1"/>
        <v>63.636363636363633</v>
      </c>
      <c r="H11" s="20">
        <f>SUM(H8:H10)</f>
        <v>33</v>
      </c>
      <c r="I11" s="20">
        <f>SUM(I8:I10)</f>
        <v>15</v>
      </c>
      <c r="J11" s="21">
        <f t="shared" si="2"/>
        <v>45.454545454545453</v>
      </c>
      <c r="K11" s="22">
        <f>SUM(K8:K10)</f>
        <v>27</v>
      </c>
      <c r="L11" s="22">
        <f>SUM(L8:L10)</f>
        <v>12</v>
      </c>
      <c r="M11" s="23">
        <f t="shared" si="3"/>
        <v>44.444444444444443</v>
      </c>
      <c r="N11" s="22">
        <f>SUM(N8:N10)</f>
        <v>27</v>
      </c>
      <c r="O11" s="22">
        <f>SUM(O8:O10)</f>
        <v>12</v>
      </c>
      <c r="P11" s="23">
        <f t="shared" si="4"/>
        <v>44.444444444444443</v>
      </c>
      <c r="Q11" s="24">
        <f>SUM(Q8:Q10)</f>
        <v>0</v>
      </c>
      <c r="R11" s="24">
        <f>SUM(R8:R10)</f>
        <v>0</v>
      </c>
      <c r="S11" s="25" t="e">
        <f t="shared" si="5"/>
        <v>#DIV/0!</v>
      </c>
    </row>
    <row r="12" spans="1:19" ht="15.75">
      <c r="A12" s="3" t="s">
        <v>25</v>
      </c>
      <c r="B12" s="13">
        <v>50</v>
      </c>
      <c r="C12" s="14">
        <v>32</v>
      </c>
      <c r="D12" s="6">
        <f t="shared" si="0"/>
        <v>64</v>
      </c>
      <c r="E12" s="15">
        <v>24</v>
      </c>
      <c r="F12" s="16">
        <v>16</v>
      </c>
      <c r="G12" s="6">
        <f t="shared" si="1"/>
        <v>66.666666666666657</v>
      </c>
      <c r="H12" s="15">
        <v>13</v>
      </c>
      <c r="I12" s="16">
        <v>7</v>
      </c>
      <c r="J12" s="9">
        <f t="shared" si="2"/>
        <v>53.846153846153847</v>
      </c>
      <c r="K12" s="10">
        <v>11</v>
      </c>
      <c r="L12" s="10">
        <v>6</v>
      </c>
      <c r="M12" s="11">
        <f t="shared" si="3"/>
        <v>54.545454545454547</v>
      </c>
      <c r="N12" s="10">
        <v>11</v>
      </c>
      <c r="O12" s="10">
        <v>6</v>
      </c>
      <c r="P12" s="11">
        <f t="shared" si="4"/>
        <v>54.545454545454547</v>
      </c>
      <c r="Q12" s="12"/>
      <c r="R12" s="12"/>
      <c r="S12" s="12" t="e">
        <f t="shared" si="5"/>
        <v>#DIV/0!</v>
      </c>
    </row>
    <row r="13" spans="1:19" ht="15.75">
      <c r="A13" s="3" t="s">
        <v>26</v>
      </c>
      <c r="B13" s="13">
        <v>50</v>
      </c>
      <c r="C13" s="14">
        <v>32</v>
      </c>
      <c r="D13" s="6">
        <f t="shared" si="0"/>
        <v>64</v>
      </c>
      <c r="E13" s="15">
        <v>24</v>
      </c>
      <c r="F13" s="16">
        <v>16</v>
      </c>
      <c r="G13" s="6">
        <f t="shared" si="1"/>
        <v>66.666666666666657</v>
      </c>
      <c r="H13" s="15">
        <v>13</v>
      </c>
      <c r="I13" s="16">
        <v>7</v>
      </c>
      <c r="J13" s="9">
        <f t="shared" si="2"/>
        <v>53.846153846153847</v>
      </c>
      <c r="K13" s="10">
        <v>11</v>
      </c>
      <c r="L13" s="10">
        <v>6</v>
      </c>
      <c r="M13" s="11">
        <f t="shared" si="3"/>
        <v>54.545454545454547</v>
      </c>
      <c r="N13" s="10">
        <v>11</v>
      </c>
      <c r="O13" s="10">
        <v>6</v>
      </c>
      <c r="P13" s="11">
        <f t="shared" si="4"/>
        <v>54.545454545454547</v>
      </c>
      <c r="Q13" s="12"/>
      <c r="R13" s="12"/>
      <c r="S13" s="12" t="e">
        <f t="shared" si="5"/>
        <v>#DIV/0!</v>
      </c>
    </row>
    <row r="14" spans="1:19" ht="15.75">
      <c r="A14" s="3" t="s">
        <v>27</v>
      </c>
      <c r="B14" s="13">
        <v>50</v>
      </c>
      <c r="C14" s="14">
        <v>32</v>
      </c>
      <c r="D14" s="6">
        <f t="shared" si="0"/>
        <v>64</v>
      </c>
      <c r="E14" s="15">
        <v>24</v>
      </c>
      <c r="F14" s="16">
        <v>16</v>
      </c>
      <c r="G14" s="6">
        <f t="shared" si="1"/>
        <v>66.666666666666657</v>
      </c>
      <c r="H14" s="15">
        <v>13</v>
      </c>
      <c r="I14" s="16">
        <v>7</v>
      </c>
      <c r="J14" s="9">
        <f t="shared" si="2"/>
        <v>53.846153846153847</v>
      </c>
      <c r="K14" s="10">
        <v>11</v>
      </c>
      <c r="L14" s="10">
        <v>6</v>
      </c>
      <c r="M14" s="11">
        <f t="shared" si="3"/>
        <v>54.545454545454547</v>
      </c>
      <c r="N14" s="10">
        <v>11</v>
      </c>
      <c r="O14" s="10">
        <v>6</v>
      </c>
      <c r="P14" s="11">
        <f t="shared" si="4"/>
        <v>54.545454545454547</v>
      </c>
      <c r="Q14" s="12"/>
      <c r="R14" s="12"/>
      <c r="S14" s="12" t="e">
        <f t="shared" si="5"/>
        <v>#DIV/0!</v>
      </c>
    </row>
    <row r="15" spans="1:19" s="26" customFormat="1" ht="15.75">
      <c r="A15" s="17" t="s">
        <v>28</v>
      </c>
      <c r="B15" s="18">
        <f>SUM(B12:B14)</f>
        <v>150</v>
      </c>
      <c r="C15" s="18">
        <f>SUM(C12:C14)</f>
        <v>96</v>
      </c>
      <c r="D15" s="19">
        <f t="shared" si="0"/>
        <v>64</v>
      </c>
      <c r="E15" s="20">
        <f>SUM(E12:E14)</f>
        <v>72</v>
      </c>
      <c r="F15" s="20">
        <f>SUM(F12:F14)</f>
        <v>48</v>
      </c>
      <c r="G15" s="19">
        <f t="shared" si="1"/>
        <v>66.666666666666657</v>
      </c>
      <c r="H15" s="20">
        <f>SUM(H12:H14)</f>
        <v>39</v>
      </c>
      <c r="I15" s="20">
        <f>SUM(I12:I14)</f>
        <v>21</v>
      </c>
      <c r="J15" s="21">
        <f t="shared" si="2"/>
        <v>53.846153846153847</v>
      </c>
      <c r="K15" s="22">
        <f>SUM(K12:K14)</f>
        <v>33</v>
      </c>
      <c r="L15" s="22">
        <f>SUM(L12:L14)</f>
        <v>18</v>
      </c>
      <c r="M15" s="23">
        <f t="shared" si="3"/>
        <v>54.545454545454547</v>
      </c>
      <c r="N15" s="22">
        <f>SUM(N12:N14)</f>
        <v>33</v>
      </c>
      <c r="O15" s="22">
        <f>SUM(O12:O14)</f>
        <v>18</v>
      </c>
      <c r="P15" s="23">
        <f t="shared" si="4"/>
        <v>54.545454545454547</v>
      </c>
      <c r="Q15" s="24">
        <f>SUM(Q12:Q14)</f>
        <v>0</v>
      </c>
      <c r="R15" s="24">
        <f>SUM(R12:R14)</f>
        <v>0</v>
      </c>
      <c r="S15" s="25" t="e">
        <f t="shared" si="5"/>
        <v>#DIV/0!</v>
      </c>
    </row>
    <row r="16" spans="1:19" ht="15.75">
      <c r="A16" s="3" t="s">
        <v>29</v>
      </c>
      <c r="B16" s="13">
        <v>50</v>
      </c>
      <c r="C16" s="14">
        <v>32</v>
      </c>
      <c r="D16" s="6">
        <f t="shared" si="0"/>
        <v>64</v>
      </c>
      <c r="E16" s="15">
        <v>24</v>
      </c>
      <c r="F16" s="16">
        <v>16</v>
      </c>
      <c r="G16" s="6">
        <f t="shared" si="1"/>
        <v>66.666666666666657</v>
      </c>
      <c r="H16" s="15">
        <v>15</v>
      </c>
      <c r="I16" s="16">
        <v>8</v>
      </c>
      <c r="J16" s="9">
        <f t="shared" si="2"/>
        <v>53.333333333333336</v>
      </c>
      <c r="K16" s="10">
        <v>15</v>
      </c>
      <c r="L16" s="10">
        <v>8</v>
      </c>
      <c r="M16" s="11">
        <f t="shared" si="3"/>
        <v>53.333333333333336</v>
      </c>
      <c r="N16" s="10">
        <v>15</v>
      </c>
      <c r="O16" s="10">
        <v>8</v>
      </c>
      <c r="P16" s="11">
        <f t="shared" si="4"/>
        <v>53.333333333333336</v>
      </c>
      <c r="Q16" s="12"/>
      <c r="R16" s="12"/>
      <c r="S16" s="12" t="e">
        <f t="shared" si="5"/>
        <v>#DIV/0!</v>
      </c>
    </row>
    <row r="17" spans="1:19" ht="15.75">
      <c r="A17" s="3" t="s">
        <v>30</v>
      </c>
      <c r="B17" s="13">
        <v>50</v>
      </c>
      <c r="C17" s="14">
        <v>32</v>
      </c>
      <c r="D17" s="6">
        <f t="shared" si="0"/>
        <v>64</v>
      </c>
      <c r="E17" s="15">
        <v>24</v>
      </c>
      <c r="F17" s="16">
        <v>16</v>
      </c>
      <c r="G17" s="6">
        <f t="shared" si="1"/>
        <v>66.666666666666657</v>
      </c>
      <c r="H17" s="15">
        <v>15</v>
      </c>
      <c r="I17" s="16">
        <v>8</v>
      </c>
      <c r="J17" s="9">
        <f t="shared" si="2"/>
        <v>53.333333333333336</v>
      </c>
      <c r="K17" s="10">
        <v>15</v>
      </c>
      <c r="L17" s="10">
        <v>8</v>
      </c>
      <c r="M17" s="11">
        <f t="shared" si="3"/>
        <v>53.333333333333336</v>
      </c>
      <c r="N17" s="10">
        <v>15</v>
      </c>
      <c r="O17" s="10">
        <v>8</v>
      </c>
      <c r="P17" s="11">
        <f t="shared" si="4"/>
        <v>53.333333333333336</v>
      </c>
      <c r="Q17" s="12"/>
      <c r="R17" s="12"/>
      <c r="S17" s="12" t="e">
        <f t="shared" si="5"/>
        <v>#DIV/0!</v>
      </c>
    </row>
    <row r="18" spans="1:19" ht="15.75">
      <c r="A18" s="3" t="s">
        <v>31</v>
      </c>
      <c r="B18" s="13">
        <v>50</v>
      </c>
      <c r="C18" s="14">
        <v>32</v>
      </c>
      <c r="D18" s="6">
        <f t="shared" si="0"/>
        <v>64</v>
      </c>
      <c r="E18" s="15">
        <v>24</v>
      </c>
      <c r="F18" s="16">
        <v>16</v>
      </c>
      <c r="G18" s="6">
        <f t="shared" si="1"/>
        <v>66.666666666666657</v>
      </c>
      <c r="H18" s="15">
        <v>15</v>
      </c>
      <c r="I18" s="16">
        <v>8</v>
      </c>
      <c r="J18" s="9">
        <f t="shared" si="2"/>
        <v>53.333333333333336</v>
      </c>
      <c r="K18" s="10">
        <v>15</v>
      </c>
      <c r="L18" s="10">
        <v>8</v>
      </c>
      <c r="M18" s="11">
        <f t="shared" si="3"/>
        <v>53.333333333333336</v>
      </c>
      <c r="N18" s="10">
        <v>15</v>
      </c>
      <c r="O18" s="10">
        <v>8</v>
      </c>
      <c r="P18" s="11">
        <f t="shared" si="4"/>
        <v>53.333333333333336</v>
      </c>
      <c r="Q18" s="12"/>
      <c r="R18" s="12"/>
      <c r="S18" s="12" t="e">
        <f t="shared" si="5"/>
        <v>#DIV/0!</v>
      </c>
    </row>
    <row r="19" spans="1:19" ht="15.75">
      <c r="A19" s="3" t="s">
        <v>32</v>
      </c>
      <c r="B19" s="13">
        <v>50</v>
      </c>
      <c r="C19" s="14">
        <v>32</v>
      </c>
      <c r="D19" s="6">
        <f t="shared" si="0"/>
        <v>64</v>
      </c>
      <c r="E19" s="15">
        <v>24</v>
      </c>
      <c r="F19" s="16">
        <v>16</v>
      </c>
      <c r="G19" s="6">
        <f t="shared" si="1"/>
        <v>66.666666666666657</v>
      </c>
      <c r="H19" s="15">
        <v>15</v>
      </c>
      <c r="I19" s="16">
        <v>8</v>
      </c>
      <c r="J19" s="9">
        <f t="shared" si="2"/>
        <v>53.333333333333336</v>
      </c>
      <c r="K19" s="10">
        <v>15</v>
      </c>
      <c r="L19" s="10">
        <v>8</v>
      </c>
      <c r="M19" s="11">
        <f t="shared" si="3"/>
        <v>53.333333333333336</v>
      </c>
      <c r="N19" s="10">
        <v>15</v>
      </c>
      <c r="O19" s="10">
        <v>8</v>
      </c>
      <c r="P19" s="11">
        <f t="shared" si="4"/>
        <v>53.333333333333336</v>
      </c>
      <c r="Q19" s="12"/>
      <c r="R19" s="12"/>
      <c r="S19" s="12" t="e">
        <f t="shared" si="5"/>
        <v>#DIV/0!</v>
      </c>
    </row>
    <row r="20" spans="1:19" s="26" customFormat="1" ht="15.75">
      <c r="A20" s="17" t="s">
        <v>33</v>
      </c>
      <c r="B20" s="28">
        <f>SUM(B16:B19)</f>
        <v>200</v>
      </c>
      <c r="C20" s="28">
        <f>SUM(C16:C19)</f>
        <v>128</v>
      </c>
      <c r="D20" s="19">
        <f t="shared" si="0"/>
        <v>64</v>
      </c>
      <c r="E20" s="20">
        <f>SUM(E16:E19)</f>
        <v>96</v>
      </c>
      <c r="F20" s="20">
        <f>SUM(F16:F19)</f>
        <v>64</v>
      </c>
      <c r="G20" s="19">
        <f t="shared" si="1"/>
        <v>66.666666666666657</v>
      </c>
      <c r="H20" s="20">
        <f>SUM(H16:H19)</f>
        <v>60</v>
      </c>
      <c r="I20" s="20">
        <f>SUM(I16:I19)</f>
        <v>32</v>
      </c>
      <c r="J20" s="21">
        <f t="shared" si="2"/>
        <v>53.333333333333336</v>
      </c>
      <c r="K20" s="22">
        <f>SUM(K16:K19)</f>
        <v>60</v>
      </c>
      <c r="L20" s="22">
        <f>SUM(L16:L19)</f>
        <v>32</v>
      </c>
      <c r="M20" s="23">
        <f t="shared" si="3"/>
        <v>53.333333333333336</v>
      </c>
      <c r="N20" s="22">
        <f>SUM(N16:N19)</f>
        <v>60</v>
      </c>
      <c r="O20" s="22">
        <f>SUM(O16:O19)</f>
        <v>32</v>
      </c>
      <c r="P20" s="23">
        <f t="shared" si="4"/>
        <v>53.333333333333336</v>
      </c>
      <c r="Q20" s="24">
        <f>SUM(Q16:Q19)</f>
        <v>0</v>
      </c>
      <c r="R20" s="24">
        <f>SUM(R16:R19)</f>
        <v>0</v>
      </c>
      <c r="S20" s="25" t="e">
        <f t="shared" si="5"/>
        <v>#DIV/0!</v>
      </c>
    </row>
    <row r="21" spans="1:19" ht="15.75">
      <c r="A21" s="29" t="s">
        <v>34</v>
      </c>
      <c r="B21" s="27">
        <v>50</v>
      </c>
      <c r="C21" s="14">
        <v>32</v>
      </c>
      <c r="D21" s="6">
        <f t="shared" si="0"/>
        <v>64</v>
      </c>
      <c r="E21" s="15">
        <v>27</v>
      </c>
      <c r="F21" s="16">
        <v>17</v>
      </c>
      <c r="G21" s="6">
        <f t="shared" si="1"/>
        <v>62.962962962962962</v>
      </c>
      <c r="H21" s="15">
        <v>15</v>
      </c>
      <c r="I21" s="16">
        <v>8</v>
      </c>
      <c r="J21" s="9">
        <f t="shared" si="2"/>
        <v>53.333333333333336</v>
      </c>
      <c r="K21" s="10">
        <v>11</v>
      </c>
      <c r="L21" s="10">
        <v>7</v>
      </c>
      <c r="M21" s="11">
        <f t="shared" si="3"/>
        <v>63.636363636363633</v>
      </c>
      <c r="N21" s="10">
        <v>11</v>
      </c>
      <c r="O21" s="10">
        <v>7</v>
      </c>
      <c r="P21" s="11">
        <f t="shared" si="4"/>
        <v>63.636363636363633</v>
      </c>
      <c r="Q21" s="12"/>
      <c r="R21" s="12"/>
      <c r="S21" s="12" t="e">
        <f t="shared" si="5"/>
        <v>#DIV/0!</v>
      </c>
    </row>
    <row r="22" spans="1:19" ht="15.75">
      <c r="A22" s="29" t="s">
        <v>35</v>
      </c>
      <c r="B22" s="27">
        <v>50</v>
      </c>
      <c r="C22" s="14">
        <v>32</v>
      </c>
      <c r="D22" s="6">
        <f t="shared" si="0"/>
        <v>64</v>
      </c>
      <c r="E22" s="15">
        <v>27</v>
      </c>
      <c r="F22" s="16">
        <v>17</v>
      </c>
      <c r="G22" s="6">
        <f t="shared" si="1"/>
        <v>62.962962962962962</v>
      </c>
      <c r="H22" s="15">
        <v>15</v>
      </c>
      <c r="I22" s="16">
        <v>8</v>
      </c>
      <c r="J22" s="9">
        <f t="shared" si="2"/>
        <v>53.333333333333336</v>
      </c>
      <c r="K22" s="10">
        <v>11</v>
      </c>
      <c r="L22" s="10">
        <v>7</v>
      </c>
      <c r="M22" s="11">
        <f t="shared" si="3"/>
        <v>63.636363636363633</v>
      </c>
      <c r="N22" s="10">
        <v>11</v>
      </c>
      <c r="O22" s="10">
        <v>7</v>
      </c>
      <c r="P22" s="11">
        <f t="shared" si="4"/>
        <v>63.636363636363633</v>
      </c>
      <c r="Q22" s="12"/>
      <c r="R22" s="12"/>
      <c r="S22" s="12" t="e">
        <f t="shared" si="5"/>
        <v>#DIV/0!</v>
      </c>
    </row>
    <row r="23" spans="1:19" ht="15.75">
      <c r="A23" s="29" t="s">
        <v>36</v>
      </c>
      <c r="B23" s="27">
        <v>50</v>
      </c>
      <c r="C23" s="14">
        <v>32</v>
      </c>
      <c r="D23" s="6">
        <f t="shared" si="0"/>
        <v>64</v>
      </c>
      <c r="E23" s="15">
        <v>27</v>
      </c>
      <c r="F23" s="16">
        <v>17</v>
      </c>
      <c r="G23" s="6">
        <f t="shared" si="1"/>
        <v>62.962962962962962</v>
      </c>
      <c r="H23" s="15">
        <v>15</v>
      </c>
      <c r="I23" s="16">
        <v>8</v>
      </c>
      <c r="J23" s="9">
        <f t="shared" si="2"/>
        <v>53.333333333333336</v>
      </c>
      <c r="K23" s="10">
        <v>11</v>
      </c>
      <c r="L23" s="10">
        <v>7</v>
      </c>
      <c r="M23" s="11">
        <f t="shared" si="3"/>
        <v>63.636363636363633</v>
      </c>
      <c r="N23" s="10">
        <v>11</v>
      </c>
      <c r="O23" s="10">
        <v>7</v>
      </c>
      <c r="P23" s="11">
        <f t="shared" si="4"/>
        <v>63.636363636363633</v>
      </c>
      <c r="Q23" s="12"/>
      <c r="R23" s="12"/>
      <c r="S23" s="12" t="e">
        <f t="shared" si="5"/>
        <v>#DIV/0!</v>
      </c>
    </row>
    <row r="24" spans="1:19" ht="15.75">
      <c r="A24" s="29" t="s">
        <v>37</v>
      </c>
      <c r="B24" s="27">
        <v>50</v>
      </c>
      <c r="C24" s="14">
        <v>32</v>
      </c>
      <c r="D24" s="6">
        <f t="shared" si="0"/>
        <v>64</v>
      </c>
      <c r="E24" s="15">
        <v>27</v>
      </c>
      <c r="F24" s="16">
        <v>17</v>
      </c>
      <c r="G24" s="6">
        <f t="shared" si="1"/>
        <v>62.962962962962962</v>
      </c>
      <c r="H24" s="15">
        <v>15</v>
      </c>
      <c r="I24" s="16">
        <v>8</v>
      </c>
      <c r="J24" s="9">
        <f t="shared" si="2"/>
        <v>53.333333333333336</v>
      </c>
      <c r="K24" s="10">
        <v>11</v>
      </c>
      <c r="L24" s="10">
        <v>7</v>
      </c>
      <c r="M24" s="11">
        <f t="shared" si="3"/>
        <v>63.636363636363633</v>
      </c>
      <c r="N24" s="10">
        <v>11</v>
      </c>
      <c r="O24" s="10">
        <v>7</v>
      </c>
      <c r="P24" s="11">
        <f t="shared" si="4"/>
        <v>63.636363636363633</v>
      </c>
      <c r="Q24" s="12"/>
      <c r="R24" s="12"/>
      <c r="S24" s="12" t="e">
        <f t="shared" si="5"/>
        <v>#DIV/0!</v>
      </c>
    </row>
    <row r="25" spans="1:19" ht="15.75">
      <c r="A25" s="30" t="s">
        <v>38</v>
      </c>
      <c r="B25" s="27">
        <v>50</v>
      </c>
      <c r="C25" s="14">
        <v>32</v>
      </c>
      <c r="D25" s="6">
        <f t="shared" si="0"/>
        <v>64</v>
      </c>
      <c r="E25" s="15">
        <v>27</v>
      </c>
      <c r="F25" s="16">
        <v>17</v>
      </c>
      <c r="G25" s="6">
        <f t="shared" si="1"/>
        <v>62.962962962962962</v>
      </c>
      <c r="H25" s="15">
        <v>15</v>
      </c>
      <c r="I25" s="16">
        <v>8</v>
      </c>
      <c r="J25" s="9">
        <f t="shared" si="2"/>
        <v>53.333333333333336</v>
      </c>
      <c r="K25" s="10">
        <v>11</v>
      </c>
      <c r="L25" s="10">
        <v>7</v>
      </c>
      <c r="M25" s="11">
        <f t="shared" si="3"/>
        <v>63.636363636363633</v>
      </c>
      <c r="N25" s="10">
        <v>11</v>
      </c>
      <c r="O25" s="10">
        <v>7</v>
      </c>
      <c r="P25" s="11">
        <f t="shared" si="4"/>
        <v>63.636363636363633</v>
      </c>
      <c r="Q25" s="12"/>
      <c r="R25" s="12"/>
      <c r="S25" s="12" t="e">
        <f t="shared" si="5"/>
        <v>#DIV/0!</v>
      </c>
    </row>
    <row r="26" spans="1:19" ht="15.75">
      <c r="A26" s="30" t="s">
        <v>39</v>
      </c>
      <c r="B26" s="27">
        <v>50</v>
      </c>
      <c r="C26" s="14">
        <v>32</v>
      </c>
      <c r="D26" s="6">
        <f t="shared" si="0"/>
        <v>64</v>
      </c>
      <c r="E26" s="15">
        <v>27</v>
      </c>
      <c r="F26" s="16">
        <v>17</v>
      </c>
      <c r="G26" s="6">
        <f t="shared" si="1"/>
        <v>62.962962962962962</v>
      </c>
      <c r="H26" s="15">
        <v>15</v>
      </c>
      <c r="I26" s="16">
        <v>8</v>
      </c>
      <c r="J26" s="9">
        <f t="shared" si="2"/>
        <v>53.333333333333336</v>
      </c>
      <c r="K26" s="10">
        <v>11</v>
      </c>
      <c r="L26" s="10">
        <v>7</v>
      </c>
      <c r="M26" s="11">
        <f t="shared" si="3"/>
        <v>63.636363636363633</v>
      </c>
      <c r="N26" s="10">
        <v>11</v>
      </c>
      <c r="O26" s="10">
        <v>7</v>
      </c>
      <c r="P26" s="11">
        <f t="shared" si="4"/>
        <v>63.636363636363633</v>
      </c>
      <c r="Q26" s="12"/>
      <c r="R26" s="12"/>
      <c r="S26" s="12" t="e">
        <f t="shared" si="5"/>
        <v>#DIV/0!</v>
      </c>
    </row>
    <row r="27" spans="1:19" ht="15.75">
      <c r="A27" s="30" t="s">
        <v>40</v>
      </c>
      <c r="B27" s="27">
        <v>50</v>
      </c>
      <c r="C27" s="14">
        <v>32</v>
      </c>
      <c r="D27" s="6">
        <f t="shared" si="0"/>
        <v>64</v>
      </c>
      <c r="E27" s="15">
        <v>27</v>
      </c>
      <c r="F27" s="16">
        <v>17</v>
      </c>
      <c r="G27" s="6">
        <f t="shared" si="1"/>
        <v>62.962962962962962</v>
      </c>
      <c r="H27" s="15">
        <v>15</v>
      </c>
      <c r="I27" s="16">
        <v>8</v>
      </c>
      <c r="J27" s="9">
        <f t="shared" si="2"/>
        <v>53.333333333333336</v>
      </c>
      <c r="K27" s="10">
        <v>11</v>
      </c>
      <c r="L27" s="10">
        <v>7</v>
      </c>
      <c r="M27" s="11">
        <f t="shared" si="3"/>
        <v>63.636363636363633</v>
      </c>
      <c r="N27" s="10">
        <v>11</v>
      </c>
      <c r="O27" s="10">
        <v>7</v>
      </c>
      <c r="P27" s="11">
        <f t="shared" si="4"/>
        <v>63.636363636363633</v>
      </c>
      <c r="Q27" s="12"/>
      <c r="R27" s="12"/>
      <c r="S27" s="12" t="e">
        <f t="shared" si="5"/>
        <v>#DIV/0!</v>
      </c>
    </row>
    <row r="28" spans="1:19" s="26" customFormat="1" ht="16.5" thickBot="1">
      <c r="A28" s="17" t="s">
        <v>41</v>
      </c>
      <c r="B28" s="28">
        <f>SUM(B21:B27)</f>
        <v>350</v>
      </c>
      <c r="C28" s="28">
        <f>SUM(C21:C27)</f>
        <v>224</v>
      </c>
      <c r="D28" s="19">
        <f t="shared" si="0"/>
        <v>64</v>
      </c>
      <c r="E28" s="20">
        <f>SUM(E21:E27)</f>
        <v>189</v>
      </c>
      <c r="F28" s="20">
        <f>SUM(F21:F27)</f>
        <v>119</v>
      </c>
      <c r="G28" s="19">
        <f t="shared" si="1"/>
        <v>62.962962962962962</v>
      </c>
      <c r="H28" s="20">
        <f>SUM(H21:H27)</f>
        <v>105</v>
      </c>
      <c r="I28" s="20">
        <f>SUM(I21:I27)</f>
        <v>56</v>
      </c>
      <c r="J28" s="21">
        <f t="shared" si="2"/>
        <v>53.333333333333336</v>
      </c>
      <c r="K28" s="22">
        <f>SUM(K21:K27)</f>
        <v>77</v>
      </c>
      <c r="L28" s="22">
        <f>SUM(L21:L27)</f>
        <v>49</v>
      </c>
      <c r="M28" s="23">
        <f t="shared" si="3"/>
        <v>63.636363636363633</v>
      </c>
      <c r="N28" s="22">
        <f>SUM(N21:N27)</f>
        <v>77</v>
      </c>
      <c r="O28" s="22">
        <f>SUM(O21:O27)</f>
        <v>49</v>
      </c>
      <c r="P28" s="23">
        <f t="shared" si="4"/>
        <v>63.636363636363633</v>
      </c>
      <c r="Q28" s="24">
        <f>SUM(Q21:Q27)</f>
        <v>0</v>
      </c>
      <c r="R28" s="24">
        <f>SUM(R21:R27)</f>
        <v>0</v>
      </c>
      <c r="S28" s="25" t="e">
        <f t="shared" si="5"/>
        <v>#DIV/0!</v>
      </c>
    </row>
    <row r="29" spans="1:19" ht="16.5" thickBot="1">
      <c r="A29" s="3" t="s">
        <v>42</v>
      </c>
      <c r="B29" s="27">
        <v>50</v>
      </c>
      <c r="C29" s="14">
        <v>32</v>
      </c>
      <c r="D29" s="6">
        <f>C29/B29*100</f>
        <v>64</v>
      </c>
      <c r="E29" s="15">
        <v>25</v>
      </c>
      <c r="F29" s="16">
        <v>17</v>
      </c>
      <c r="G29" s="6">
        <f>F29/E29*100</f>
        <v>68</v>
      </c>
      <c r="H29" s="15">
        <v>10</v>
      </c>
      <c r="I29" s="16">
        <v>6</v>
      </c>
      <c r="J29" s="9">
        <f t="shared" si="2"/>
        <v>60</v>
      </c>
      <c r="K29" s="10">
        <v>10</v>
      </c>
      <c r="L29" s="10">
        <v>6</v>
      </c>
      <c r="M29" s="11">
        <f t="shared" si="3"/>
        <v>60</v>
      </c>
      <c r="N29" s="10">
        <v>10</v>
      </c>
      <c r="O29" s="10">
        <v>6</v>
      </c>
      <c r="P29" s="11">
        <f t="shared" si="4"/>
        <v>60</v>
      </c>
      <c r="Q29" s="12"/>
      <c r="R29" s="12"/>
      <c r="S29" s="12" t="e">
        <f t="shared" si="5"/>
        <v>#DIV/0!</v>
      </c>
    </row>
    <row r="30" spans="1:19" ht="16.5" thickBot="1">
      <c r="A30" s="3" t="s">
        <v>43</v>
      </c>
      <c r="B30" s="27">
        <v>50</v>
      </c>
      <c r="C30" s="14">
        <v>32</v>
      </c>
      <c r="D30" s="6">
        <f>C30/B30*100</f>
        <v>64</v>
      </c>
      <c r="E30" s="15">
        <v>25</v>
      </c>
      <c r="F30" s="16">
        <v>17</v>
      </c>
      <c r="G30" s="6">
        <f>F30/E30*100</f>
        <v>68</v>
      </c>
      <c r="H30" s="15">
        <v>10</v>
      </c>
      <c r="I30" s="16">
        <v>6</v>
      </c>
      <c r="J30" s="9">
        <f t="shared" si="2"/>
        <v>60</v>
      </c>
      <c r="K30" s="10">
        <v>10</v>
      </c>
      <c r="L30" s="10">
        <v>6</v>
      </c>
      <c r="M30" s="11">
        <f t="shared" si="3"/>
        <v>60</v>
      </c>
      <c r="N30" s="10">
        <v>10</v>
      </c>
      <c r="O30" s="10">
        <v>6</v>
      </c>
      <c r="P30" s="11">
        <f t="shared" si="4"/>
        <v>60</v>
      </c>
      <c r="Q30" s="12"/>
      <c r="R30" s="12"/>
      <c r="S30" s="12" t="e">
        <f t="shared" si="5"/>
        <v>#DIV/0!</v>
      </c>
    </row>
    <row r="31" spans="1:19" ht="16.5" thickBot="1">
      <c r="A31" s="3" t="s">
        <v>44</v>
      </c>
      <c r="B31" s="27">
        <v>50</v>
      </c>
      <c r="C31" s="14">
        <v>32</v>
      </c>
      <c r="D31" s="6">
        <f>C31/B31*100</f>
        <v>64</v>
      </c>
      <c r="E31" s="15">
        <v>25</v>
      </c>
      <c r="F31" s="16">
        <v>17</v>
      </c>
      <c r="G31" s="6">
        <f>F31/E31*100</f>
        <v>68</v>
      </c>
      <c r="H31" s="15">
        <v>10</v>
      </c>
      <c r="I31" s="16">
        <v>6</v>
      </c>
      <c r="J31" s="9">
        <f t="shared" si="2"/>
        <v>60</v>
      </c>
      <c r="K31" s="10">
        <v>10</v>
      </c>
      <c r="L31" s="10">
        <v>6</v>
      </c>
      <c r="M31" s="11">
        <f t="shared" si="3"/>
        <v>60</v>
      </c>
      <c r="N31" s="10">
        <v>10</v>
      </c>
      <c r="O31" s="10">
        <v>6</v>
      </c>
      <c r="P31" s="11">
        <f t="shared" si="4"/>
        <v>60</v>
      </c>
      <c r="Q31" s="12"/>
      <c r="R31" s="12"/>
      <c r="S31" s="12" t="e">
        <f t="shared" si="5"/>
        <v>#DIV/0!</v>
      </c>
    </row>
    <row r="32" spans="1:19" s="26" customFormat="1" ht="26.25" thickBot="1">
      <c r="A32" s="17" t="s">
        <v>45</v>
      </c>
      <c r="B32" s="28">
        <f>SUM(B29:B31)</f>
        <v>150</v>
      </c>
      <c r="C32" s="28">
        <f>SUM(C29:C31)</f>
        <v>96</v>
      </c>
      <c r="D32" s="19">
        <f t="shared" si="0"/>
        <v>64</v>
      </c>
      <c r="E32" s="20">
        <f>SUM(E29:E31)</f>
        <v>75</v>
      </c>
      <c r="F32" s="20">
        <f>SUM(F29:F31)</f>
        <v>51</v>
      </c>
      <c r="G32" s="19">
        <f t="shared" si="1"/>
        <v>68</v>
      </c>
      <c r="H32" s="20">
        <f>SUM(H29:H31)</f>
        <v>30</v>
      </c>
      <c r="I32" s="20">
        <f>SUM(I29:I31)</f>
        <v>18</v>
      </c>
      <c r="J32" s="21">
        <f t="shared" si="2"/>
        <v>60</v>
      </c>
      <c r="K32" s="22">
        <f>SUM(K29:K31)</f>
        <v>30</v>
      </c>
      <c r="L32" s="22">
        <f>SUM(L29:L31)</f>
        <v>18</v>
      </c>
      <c r="M32" s="23">
        <f t="shared" si="3"/>
        <v>60</v>
      </c>
      <c r="N32" s="22">
        <f>SUM(N29:N31)</f>
        <v>30</v>
      </c>
      <c r="O32" s="22">
        <f>SUM(O29:O31)</f>
        <v>18</v>
      </c>
      <c r="P32" s="23">
        <f t="shared" si="4"/>
        <v>60</v>
      </c>
      <c r="Q32" s="24">
        <f>SUM(Q29:Q31)</f>
        <v>0</v>
      </c>
      <c r="R32" s="24">
        <f>SUM(R29:R31)</f>
        <v>0</v>
      </c>
      <c r="S32" s="25" t="e">
        <f t="shared" si="5"/>
        <v>#DIV/0!</v>
      </c>
    </row>
    <row r="33" spans="1:19" ht="15.75">
      <c r="A33" s="3" t="s">
        <v>46</v>
      </c>
      <c r="B33" s="27">
        <v>60</v>
      </c>
      <c r="C33" s="14">
        <v>40</v>
      </c>
      <c r="D33" s="6">
        <f t="shared" si="0"/>
        <v>66.666666666666657</v>
      </c>
      <c r="E33" s="15">
        <v>20</v>
      </c>
      <c r="F33" s="16">
        <v>13</v>
      </c>
      <c r="G33" s="6">
        <f t="shared" si="1"/>
        <v>65</v>
      </c>
      <c r="H33" s="15">
        <v>10</v>
      </c>
      <c r="I33" s="16">
        <v>6</v>
      </c>
      <c r="J33" s="9">
        <f t="shared" si="2"/>
        <v>60</v>
      </c>
      <c r="K33" s="10">
        <v>10</v>
      </c>
      <c r="L33" s="10">
        <v>6</v>
      </c>
      <c r="M33" s="11">
        <f t="shared" si="3"/>
        <v>60</v>
      </c>
      <c r="N33" s="10">
        <v>10</v>
      </c>
      <c r="O33" s="10">
        <v>6</v>
      </c>
      <c r="P33" s="11">
        <f t="shared" si="4"/>
        <v>60</v>
      </c>
      <c r="Q33" s="12"/>
      <c r="R33" s="12"/>
      <c r="S33" s="12" t="e">
        <f t="shared" si="5"/>
        <v>#DIV/0!</v>
      </c>
    </row>
    <row r="34" spans="1:19" s="26" customFormat="1" ht="25.5">
      <c r="A34" s="17" t="s">
        <v>47</v>
      </c>
      <c r="B34" s="28">
        <f>B33</f>
        <v>60</v>
      </c>
      <c r="C34" s="28">
        <f>C33</f>
        <v>40</v>
      </c>
      <c r="D34" s="19">
        <f t="shared" si="0"/>
        <v>66.666666666666657</v>
      </c>
      <c r="E34" s="20">
        <f>E33</f>
        <v>20</v>
      </c>
      <c r="F34" s="20">
        <f>F33</f>
        <v>13</v>
      </c>
      <c r="G34" s="19">
        <f t="shared" si="1"/>
        <v>65</v>
      </c>
      <c r="H34" s="20">
        <f>H33</f>
        <v>10</v>
      </c>
      <c r="I34" s="20">
        <f>I33</f>
        <v>6</v>
      </c>
      <c r="J34" s="21">
        <f t="shared" si="2"/>
        <v>60</v>
      </c>
      <c r="K34" s="22">
        <f>K33</f>
        <v>10</v>
      </c>
      <c r="L34" s="22">
        <f>L33</f>
        <v>6</v>
      </c>
      <c r="M34" s="23">
        <f t="shared" si="3"/>
        <v>60</v>
      </c>
      <c r="N34" s="22">
        <f>N33</f>
        <v>10</v>
      </c>
      <c r="O34" s="22">
        <f>O33</f>
        <v>6</v>
      </c>
      <c r="P34" s="23">
        <f t="shared" si="4"/>
        <v>60</v>
      </c>
      <c r="Q34" s="24">
        <f>Q33</f>
        <v>0</v>
      </c>
      <c r="R34" s="24">
        <f>R33</f>
        <v>0</v>
      </c>
      <c r="S34" s="25" t="e">
        <f t="shared" si="5"/>
        <v>#DIV/0!</v>
      </c>
    </row>
    <row r="35" spans="1:19" ht="15.75">
      <c r="A35" s="29" t="s">
        <v>48</v>
      </c>
      <c r="B35" s="27">
        <v>50</v>
      </c>
      <c r="C35" s="14">
        <v>32</v>
      </c>
      <c r="D35" s="6">
        <f t="shared" si="0"/>
        <v>64</v>
      </c>
      <c r="E35" s="15">
        <v>25</v>
      </c>
      <c r="F35" s="16">
        <v>17</v>
      </c>
      <c r="G35" s="6">
        <f t="shared" si="1"/>
        <v>68</v>
      </c>
      <c r="H35" s="15">
        <v>10</v>
      </c>
      <c r="I35" s="16">
        <v>6</v>
      </c>
      <c r="J35" s="9">
        <f t="shared" si="2"/>
        <v>60</v>
      </c>
      <c r="K35" s="10">
        <v>10</v>
      </c>
      <c r="L35" s="10">
        <v>6</v>
      </c>
      <c r="M35" s="11">
        <f t="shared" si="3"/>
        <v>60</v>
      </c>
      <c r="N35" s="10">
        <v>10</v>
      </c>
      <c r="O35" s="10">
        <v>6</v>
      </c>
      <c r="P35" s="11">
        <f t="shared" si="4"/>
        <v>60</v>
      </c>
      <c r="Q35" s="12"/>
      <c r="R35" s="12"/>
      <c r="S35" s="12" t="e">
        <f t="shared" si="5"/>
        <v>#DIV/0!</v>
      </c>
    </row>
    <row r="36" spans="1:19" ht="15.75">
      <c r="A36" s="30" t="s">
        <v>49</v>
      </c>
      <c r="B36" s="27">
        <v>50</v>
      </c>
      <c r="C36" s="14">
        <v>32</v>
      </c>
      <c r="D36" s="6">
        <f t="shared" si="0"/>
        <v>64</v>
      </c>
      <c r="E36" s="15">
        <v>25</v>
      </c>
      <c r="F36" s="16">
        <v>17</v>
      </c>
      <c r="G36" s="6">
        <f t="shared" si="1"/>
        <v>68</v>
      </c>
      <c r="H36" s="15">
        <v>10</v>
      </c>
      <c r="I36" s="16">
        <v>6</v>
      </c>
      <c r="J36" s="9">
        <f t="shared" si="2"/>
        <v>60</v>
      </c>
      <c r="K36" s="10">
        <v>10</v>
      </c>
      <c r="L36" s="10">
        <v>6</v>
      </c>
      <c r="M36" s="11">
        <f t="shared" si="3"/>
        <v>60</v>
      </c>
      <c r="N36" s="10">
        <v>10</v>
      </c>
      <c r="O36" s="10">
        <v>6</v>
      </c>
      <c r="P36" s="11">
        <f t="shared" si="4"/>
        <v>60</v>
      </c>
      <c r="Q36" s="12"/>
      <c r="R36" s="12"/>
      <c r="S36" s="12" t="e">
        <f t="shared" si="5"/>
        <v>#DIV/0!</v>
      </c>
    </row>
    <row r="37" spans="1:19" ht="15.75">
      <c r="A37" s="30" t="s">
        <v>50</v>
      </c>
      <c r="B37" s="27">
        <v>50</v>
      </c>
      <c r="C37" s="14">
        <v>32</v>
      </c>
      <c r="D37" s="6">
        <f t="shared" si="0"/>
        <v>64</v>
      </c>
      <c r="E37" s="15">
        <v>25</v>
      </c>
      <c r="F37" s="16">
        <v>17</v>
      </c>
      <c r="G37" s="6">
        <f t="shared" si="1"/>
        <v>68</v>
      </c>
      <c r="H37" s="15">
        <v>10</v>
      </c>
      <c r="I37" s="16">
        <v>6</v>
      </c>
      <c r="J37" s="9">
        <f t="shared" si="2"/>
        <v>60</v>
      </c>
      <c r="K37" s="10">
        <v>10</v>
      </c>
      <c r="L37" s="10">
        <v>6</v>
      </c>
      <c r="M37" s="11">
        <f t="shared" si="3"/>
        <v>60</v>
      </c>
      <c r="N37" s="10">
        <v>10</v>
      </c>
      <c r="O37" s="10">
        <v>6</v>
      </c>
      <c r="P37" s="11">
        <f t="shared" si="4"/>
        <v>60</v>
      </c>
      <c r="Q37" s="12"/>
      <c r="R37" s="12"/>
      <c r="S37" s="12" t="e">
        <f t="shared" si="5"/>
        <v>#DIV/0!</v>
      </c>
    </row>
    <row r="38" spans="1:19" ht="15.75">
      <c r="A38" s="29" t="s">
        <v>51</v>
      </c>
      <c r="B38" s="27">
        <v>50</v>
      </c>
      <c r="C38" s="14">
        <v>32</v>
      </c>
      <c r="D38" s="6">
        <f t="shared" si="0"/>
        <v>64</v>
      </c>
      <c r="E38" s="15">
        <v>25</v>
      </c>
      <c r="F38" s="16">
        <v>17</v>
      </c>
      <c r="G38" s="6">
        <f t="shared" si="1"/>
        <v>68</v>
      </c>
      <c r="H38" s="15">
        <v>10</v>
      </c>
      <c r="I38" s="16">
        <v>6</v>
      </c>
      <c r="J38" s="9">
        <f t="shared" si="2"/>
        <v>60</v>
      </c>
      <c r="K38" s="10">
        <v>10</v>
      </c>
      <c r="L38" s="10">
        <v>6</v>
      </c>
      <c r="M38" s="11">
        <f t="shared" si="3"/>
        <v>60</v>
      </c>
      <c r="N38" s="10">
        <v>10</v>
      </c>
      <c r="O38" s="10">
        <v>6</v>
      </c>
      <c r="P38" s="11">
        <f t="shared" si="4"/>
        <v>60</v>
      </c>
      <c r="Q38" s="12"/>
      <c r="R38" s="12"/>
      <c r="S38" s="12" t="e">
        <f t="shared" si="5"/>
        <v>#DIV/0!</v>
      </c>
    </row>
    <row r="39" spans="1:19" s="26" customFormat="1" ht="25.5">
      <c r="A39" s="17" t="s">
        <v>52</v>
      </c>
      <c r="B39" s="28">
        <f>SUM(B35:B38)</f>
        <v>200</v>
      </c>
      <c r="C39" s="28">
        <f>SUM(C35:C38)</f>
        <v>128</v>
      </c>
      <c r="D39" s="19">
        <f t="shared" si="0"/>
        <v>64</v>
      </c>
      <c r="E39" s="20">
        <f>SUM(E35:E38)</f>
        <v>100</v>
      </c>
      <c r="F39" s="20">
        <f>SUM(F35:F38)</f>
        <v>68</v>
      </c>
      <c r="G39" s="19">
        <f t="shared" si="1"/>
        <v>68</v>
      </c>
      <c r="H39" s="20">
        <f>SUM(H35:H38)</f>
        <v>40</v>
      </c>
      <c r="I39" s="20">
        <f>SUM(I35:I38)</f>
        <v>24</v>
      </c>
      <c r="J39" s="21">
        <f t="shared" si="2"/>
        <v>60</v>
      </c>
      <c r="K39" s="22">
        <f>SUM(K35:K38)</f>
        <v>40</v>
      </c>
      <c r="L39" s="22">
        <f>SUM(L35:L38)</f>
        <v>24</v>
      </c>
      <c r="M39" s="23">
        <f t="shared" si="3"/>
        <v>60</v>
      </c>
      <c r="N39" s="22">
        <f>SUM(N35:N38)</f>
        <v>40</v>
      </c>
      <c r="O39" s="22">
        <f>SUM(O35:O38)</f>
        <v>24</v>
      </c>
      <c r="P39" s="23">
        <f t="shared" si="4"/>
        <v>60</v>
      </c>
      <c r="Q39" s="24">
        <f>SUM(Q35:Q38)</f>
        <v>0</v>
      </c>
      <c r="R39" s="24">
        <f>SUM(R35:R38)</f>
        <v>0</v>
      </c>
      <c r="S39" s="25" t="e">
        <f t="shared" si="5"/>
        <v>#DIV/0!</v>
      </c>
    </row>
    <row r="40" spans="1:19" ht="15.75">
      <c r="A40" s="31" t="s">
        <v>53</v>
      </c>
      <c r="B40" s="27">
        <v>50</v>
      </c>
      <c r="C40" s="14">
        <v>32</v>
      </c>
      <c r="D40" s="6">
        <f t="shared" si="0"/>
        <v>64</v>
      </c>
      <c r="E40" s="15">
        <v>25</v>
      </c>
      <c r="F40" s="16">
        <v>17</v>
      </c>
      <c r="G40" s="6">
        <f t="shared" si="1"/>
        <v>68</v>
      </c>
      <c r="H40" s="15">
        <v>10</v>
      </c>
      <c r="I40" s="16">
        <v>6</v>
      </c>
      <c r="J40" s="9">
        <f t="shared" si="2"/>
        <v>60</v>
      </c>
      <c r="K40" s="10">
        <v>10</v>
      </c>
      <c r="L40" s="10">
        <v>6</v>
      </c>
      <c r="M40" s="56">
        <f t="shared" si="3"/>
        <v>60</v>
      </c>
      <c r="N40" s="10">
        <v>10</v>
      </c>
      <c r="O40" s="10">
        <v>6</v>
      </c>
      <c r="P40" s="56">
        <f t="shared" si="4"/>
        <v>60</v>
      </c>
      <c r="Q40" s="12"/>
      <c r="R40" s="12"/>
      <c r="S40" s="12" t="e">
        <f t="shared" si="5"/>
        <v>#DIV/0!</v>
      </c>
    </row>
    <row r="41" spans="1:19" ht="15.75">
      <c r="A41" s="31" t="s">
        <v>54</v>
      </c>
      <c r="B41" s="27">
        <v>50</v>
      </c>
      <c r="C41" s="14">
        <v>32</v>
      </c>
      <c r="D41" s="6">
        <f t="shared" si="0"/>
        <v>64</v>
      </c>
      <c r="E41" s="15">
        <v>25</v>
      </c>
      <c r="F41" s="16">
        <v>17</v>
      </c>
      <c r="G41" s="6">
        <f t="shared" si="1"/>
        <v>68</v>
      </c>
      <c r="H41" s="15">
        <v>10</v>
      </c>
      <c r="I41" s="16">
        <v>6</v>
      </c>
      <c r="J41" s="9">
        <f t="shared" si="2"/>
        <v>60</v>
      </c>
      <c r="K41" s="10">
        <v>10</v>
      </c>
      <c r="L41" s="10">
        <v>6</v>
      </c>
      <c r="M41" s="56">
        <f t="shared" si="3"/>
        <v>60</v>
      </c>
      <c r="N41" s="10">
        <v>10</v>
      </c>
      <c r="O41" s="10">
        <v>6</v>
      </c>
      <c r="P41" s="56">
        <f t="shared" si="4"/>
        <v>60</v>
      </c>
      <c r="Q41" s="12"/>
      <c r="R41" s="12"/>
      <c r="S41" s="12" t="e">
        <f t="shared" si="5"/>
        <v>#DIV/0!</v>
      </c>
    </row>
    <row r="42" spans="1:19" s="26" customFormat="1" ht="25.5">
      <c r="A42" s="17" t="s">
        <v>55</v>
      </c>
      <c r="B42" s="28">
        <f>SUM(B40:B41)</f>
        <v>100</v>
      </c>
      <c r="C42" s="28">
        <f>SUM(C40:C41)</f>
        <v>64</v>
      </c>
      <c r="D42" s="19">
        <f t="shared" si="0"/>
        <v>64</v>
      </c>
      <c r="E42" s="20">
        <f>SUM(E40:E41)</f>
        <v>50</v>
      </c>
      <c r="F42" s="20">
        <f>SUM(F40:F41)</f>
        <v>34</v>
      </c>
      <c r="G42" s="19">
        <f t="shared" si="1"/>
        <v>68</v>
      </c>
      <c r="H42" s="20">
        <f>SUM(H40:H41)</f>
        <v>20</v>
      </c>
      <c r="I42" s="20">
        <f>SUM(I40:I41)</f>
        <v>12</v>
      </c>
      <c r="J42" s="21">
        <f t="shared" si="2"/>
        <v>60</v>
      </c>
      <c r="K42" s="22">
        <f>SUM(K40:K41)</f>
        <v>20</v>
      </c>
      <c r="L42" s="22">
        <f>SUM(L40:L41)</f>
        <v>12</v>
      </c>
      <c r="M42" s="23">
        <f t="shared" si="3"/>
        <v>60</v>
      </c>
      <c r="N42" s="22">
        <f>SUM(N40:N41)</f>
        <v>20</v>
      </c>
      <c r="O42" s="22">
        <f>SUM(O40:O41)</f>
        <v>12</v>
      </c>
      <c r="P42" s="23">
        <f t="shared" si="4"/>
        <v>60</v>
      </c>
      <c r="Q42" s="24">
        <f>SUM(Q40:Q41)</f>
        <v>0</v>
      </c>
      <c r="R42" s="24">
        <f>SUM(R40:R41)</f>
        <v>0</v>
      </c>
      <c r="S42" s="25" t="e">
        <f t="shared" si="5"/>
        <v>#DIV/0!</v>
      </c>
    </row>
    <row r="43" spans="1:19" ht="15.75">
      <c r="A43" s="3" t="s">
        <v>56</v>
      </c>
      <c r="B43" s="27">
        <v>50</v>
      </c>
      <c r="C43" s="14">
        <v>32</v>
      </c>
      <c r="D43" s="6">
        <f t="shared" si="0"/>
        <v>64</v>
      </c>
      <c r="E43" s="15">
        <v>25</v>
      </c>
      <c r="F43" s="16">
        <v>17</v>
      </c>
      <c r="G43" s="6">
        <f t="shared" si="1"/>
        <v>68</v>
      </c>
      <c r="H43" s="15">
        <v>10</v>
      </c>
      <c r="I43" s="16">
        <v>6</v>
      </c>
      <c r="J43" s="9">
        <f t="shared" si="2"/>
        <v>60</v>
      </c>
      <c r="K43" s="10">
        <v>10</v>
      </c>
      <c r="L43" s="10">
        <v>6</v>
      </c>
      <c r="M43" s="11">
        <f t="shared" si="3"/>
        <v>60</v>
      </c>
      <c r="N43" s="10">
        <v>10</v>
      </c>
      <c r="O43" s="10">
        <v>6</v>
      </c>
      <c r="P43" s="11">
        <f t="shared" si="4"/>
        <v>60</v>
      </c>
      <c r="Q43" s="12"/>
      <c r="R43" s="12"/>
      <c r="S43" s="12" t="e">
        <f t="shared" si="5"/>
        <v>#DIV/0!</v>
      </c>
    </row>
    <row r="44" spans="1:19" ht="15.75">
      <c r="A44" s="3" t="s">
        <v>57</v>
      </c>
      <c r="B44" s="27">
        <v>50</v>
      </c>
      <c r="C44" s="14">
        <v>32</v>
      </c>
      <c r="D44" s="6">
        <f t="shared" si="0"/>
        <v>64</v>
      </c>
      <c r="E44" s="15">
        <v>25</v>
      </c>
      <c r="F44" s="16">
        <v>17</v>
      </c>
      <c r="G44" s="6">
        <f t="shared" si="1"/>
        <v>68</v>
      </c>
      <c r="H44" s="15">
        <v>10</v>
      </c>
      <c r="I44" s="16">
        <v>6</v>
      </c>
      <c r="J44" s="9">
        <f t="shared" si="2"/>
        <v>60</v>
      </c>
      <c r="K44" s="10">
        <v>10</v>
      </c>
      <c r="L44" s="10">
        <v>6</v>
      </c>
      <c r="M44" s="11">
        <f t="shared" si="3"/>
        <v>60</v>
      </c>
      <c r="N44" s="10">
        <v>10</v>
      </c>
      <c r="O44" s="10">
        <v>6</v>
      </c>
      <c r="P44" s="11">
        <f t="shared" si="4"/>
        <v>60</v>
      </c>
      <c r="Q44" s="12"/>
      <c r="R44" s="12"/>
      <c r="S44" s="12" t="e">
        <f t="shared" si="5"/>
        <v>#DIV/0!</v>
      </c>
    </row>
    <row r="45" spans="1:19" ht="15.75">
      <c r="A45" s="3" t="s">
        <v>58</v>
      </c>
      <c r="B45" s="27">
        <v>50</v>
      </c>
      <c r="C45" s="14">
        <v>32</v>
      </c>
      <c r="D45" s="6">
        <f t="shared" si="0"/>
        <v>64</v>
      </c>
      <c r="E45" s="15">
        <v>25</v>
      </c>
      <c r="F45" s="16">
        <v>17</v>
      </c>
      <c r="G45" s="6">
        <f t="shared" si="1"/>
        <v>68</v>
      </c>
      <c r="H45" s="15">
        <v>10</v>
      </c>
      <c r="I45" s="16">
        <v>6</v>
      </c>
      <c r="J45" s="9">
        <f t="shared" si="2"/>
        <v>60</v>
      </c>
      <c r="K45" s="10">
        <v>10</v>
      </c>
      <c r="L45" s="10">
        <v>6</v>
      </c>
      <c r="M45" s="11">
        <f t="shared" si="3"/>
        <v>60</v>
      </c>
      <c r="N45" s="10">
        <v>10</v>
      </c>
      <c r="O45" s="10">
        <v>6</v>
      </c>
      <c r="P45" s="11">
        <f t="shared" si="4"/>
        <v>60</v>
      </c>
      <c r="Q45" s="12"/>
      <c r="R45" s="12"/>
      <c r="S45" s="12" t="e">
        <f t="shared" si="5"/>
        <v>#DIV/0!</v>
      </c>
    </row>
    <row r="46" spans="1:19" s="26" customFormat="1" ht="25.5">
      <c r="A46" s="17" t="s">
        <v>59</v>
      </c>
      <c r="B46" s="28">
        <f>SUM(B43:B45)</f>
        <v>150</v>
      </c>
      <c r="C46" s="28">
        <f>SUM(C43:C45)</f>
        <v>96</v>
      </c>
      <c r="D46" s="19">
        <f t="shared" si="0"/>
        <v>64</v>
      </c>
      <c r="E46" s="20">
        <f>SUM(E43:E45)</f>
        <v>75</v>
      </c>
      <c r="F46" s="20">
        <f>SUM(F43:F45)</f>
        <v>51</v>
      </c>
      <c r="G46" s="19">
        <f t="shared" si="1"/>
        <v>68</v>
      </c>
      <c r="H46" s="20">
        <f>SUM(H43:H45)</f>
        <v>30</v>
      </c>
      <c r="I46" s="20">
        <f>SUM(I43:I45)</f>
        <v>18</v>
      </c>
      <c r="J46" s="21">
        <f t="shared" si="2"/>
        <v>60</v>
      </c>
      <c r="K46" s="22">
        <f>SUM(K43:K45)</f>
        <v>30</v>
      </c>
      <c r="L46" s="22">
        <f>SUM(L43:L45)</f>
        <v>18</v>
      </c>
      <c r="M46" s="23">
        <f t="shared" si="3"/>
        <v>60</v>
      </c>
      <c r="N46" s="22">
        <f>SUM(N43:N45)</f>
        <v>30</v>
      </c>
      <c r="O46" s="22">
        <f>SUM(O43:O45)</f>
        <v>18</v>
      </c>
      <c r="P46" s="23">
        <f t="shared" si="4"/>
        <v>60</v>
      </c>
      <c r="Q46" s="24">
        <f>SUM(Q43:Q45)</f>
        <v>0</v>
      </c>
      <c r="R46" s="24">
        <f>SUM(R43:R45)</f>
        <v>0</v>
      </c>
      <c r="S46" s="25" t="e">
        <f t="shared" si="5"/>
        <v>#DIV/0!</v>
      </c>
    </row>
    <row r="47" spans="1:19" ht="15.75">
      <c r="A47" s="32" t="s">
        <v>60</v>
      </c>
      <c r="B47" s="27">
        <v>50</v>
      </c>
      <c r="C47" s="14">
        <v>32</v>
      </c>
      <c r="D47" s="6">
        <f t="shared" si="0"/>
        <v>64</v>
      </c>
      <c r="E47" s="15">
        <v>25</v>
      </c>
      <c r="F47" s="16">
        <v>17</v>
      </c>
      <c r="G47" s="6">
        <f t="shared" si="1"/>
        <v>68</v>
      </c>
      <c r="H47" s="15">
        <v>10</v>
      </c>
      <c r="I47" s="16">
        <v>6</v>
      </c>
      <c r="J47" s="9">
        <f t="shared" si="2"/>
        <v>60</v>
      </c>
      <c r="K47" s="10">
        <v>10</v>
      </c>
      <c r="L47" s="10">
        <v>6</v>
      </c>
      <c r="M47" s="56">
        <f t="shared" si="3"/>
        <v>60</v>
      </c>
      <c r="N47" s="10">
        <v>10</v>
      </c>
      <c r="O47" s="10">
        <v>6</v>
      </c>
      <c r="P47" s="56">
        <f t="shared" si="4"/>
        <v>60</v>
      </c>
      <c r="Q47" s="12"/>
      <c r="R47" s="12"/>
      <c r="S47" s="12" t="e">
        <f t="shared" si="5"/>
        <v>#DIV/0!</v>
      </c>
    </row>
    <row r="48" spans="1:19" ht="15.75">
      <c r="A48" s="32" t="s">
        <v>61</v>
      </c>
      <c r="B48" s="27">
        <v>50</v>
      </c>
      <c r="C48" s="14">
        <v>32</v>
      </c>
      <c r="D48" s="6">
        <f t="shared" si="0"/>
        <v>64</v>
      </c>
      <c r="E48" s="15">
        <v>25</v>
      </c>
      <c r="F48" s="16">
        <v>17</v>
      </c>
      <c r="G48" s="6">
        <f t="shared" si="1"/>
        <v>68</v>
      </c>
      <c r="H48" s="15">
        <v>10</v>
      </c>
      <c r="I48" s="16">
        <v>6</v>
      </c>
      <c r="J48" s="9">
        <f t="shared" si="2"/>
        <v>60</v>
      </c>
      <c r="K48" s="10">
        <v>10</v>
      </c>
      <c r="L48" s="10">
        <v>6</v>
      </c>
      <c r="M48" s="56">
        <f t="shared" si="3"/>
        <v>60</v>
      </c>
      <c r="N48" s="10">
        <v>10</v>
      </c>
      <c r="O48" s="10">
        <v>6</v>
      </c>
      <c r="P48" s="56">
        <f t="shared" si="4"/>
        <v>60</v>
      </c>
      <c r="Q48" s="12"/>
      <c r="R48" s="12"/>
      <c r="S48" s="12" t="e">
        <f t="shared" si="5"/>
        <v>#DIV/0!</v>
      </c>
    </row>
    <row r="49" spans="1:19" s="26" customFormat="1" ht="25.5">
      <c r="A49" s="17" t="s">
        <v>62</v>
      </c>
      <c r="B49" s="28">
        <f>SUM(B47:B48)</f>
        <v>100</v>
      </c>
      <c r="C49" s="28">
        <f>SUM(C47:C48)</f>
        <v>64</v>
      </c>
      <c r="D49" s="19">
        <f t="shared" si="0"/>
        <v>64</v>
      </c>
      <c r="E49" s="20">
        <f>SUM(E47:E48)</f>
        <v>50</v>
      </c>
      <c r="F49" s="20">
        <f>SUM(F47:F48)</f>
        <v>34</v>
      </c>
      <c r="G49" s="19">
        <f t="shared" si="1"/>
        <v>68</v>
      </c>
      <c r="H49" s="20">
        <f>SUM(H47:H48)</f>
        <v>20</v>
      </c>
      <c r="I49" s="20">
        <f>SUM(I47:I48)</f>
        <v>12</v>
      </c>
      <c r="J49" s="21">
        <f t="shared" si="2"/>
        <v>60</v>
      </c>
      <c r="K49" s="22">
        <f>SUM(K47:K48)</f>
        <v>20</v>
      </c>
      <c r="L49" s="22">
        <f>SUM(L47:L48)</f>
        <v>12</v>
      </c>
      <c r="M49" s="23">
        <f t="shared" si="3"/>
        <v>60</v>
      </c>
      <c r="N49" s="22">
        <f>SUM(N47:N48)</f>
        <v>20</v>
      </c>
      <c r="O49" s="22">
        <f>SUM(O47:O48)</f>
        <v>12</v>
      </c>
      <c r="P49" s="23">
        <f t="shared" si="4"/>
        <v>60</v>
      </c>
      <c r="Q49" s="24">
        <f>SUM(Q47:Q48)</f>
        <v>0</v>
      </c>
      <c r="R49" s="24">
        <f>SUM(R47:R48)</f>
        <v>0</v>
      </c>
      <c r="S49" s="25" t="e">
        <f t="shared" si="5"/>
        <v>#DIV/0!</v>
      </c>
    </row>
    <row r="50" spans="1:19" s="38" customFormat="1" ht="29.25" customHeight="1" thickBot="1">
      <c r="A50" s="33" t="s">
        <v>63</v>
      </c>
      <c r="B50" s="34">
        <f>SUM(B49,B46,B42,B39,B34,B32,B28,B20,B15,B11)</f>
        <v>1610</v>
      </c>
      <c r="C50" s="34">
        <f>SUM(C49,C46,C42,C39,C34,C32,C28,C20,C15,C11)</f>
        <v>1032</v>
      </c>
      <c r="D50" s="35">
        <f t="shared" si="0"/>
        <v>64.099378881987576</v>
      </c>
      <c r="E50" s="34">
        <f>SUM(E49,E46,E42,E39,E34,E32,E28,E20,E15,E11)</f>
        <v>793</v>
      </c>
      <c r="F50" s="34">
        <f>SUM(F49,F46,F42,F39,F34,F32,F28,F20,F15,F11)</f>
        <v>524</v>
      </c>
      <c r="G50" s="35">
        <f t="shared" si="1"/>
        <v>66.078184110970994</v>
      </c>
      <c r="H50" s="34">
        <f>SUM(H49,H46,H42,H39,H34,H32,H28,H20,H15,H11)</f>
        <v>387</v>
      </c>
      <c r="I50" s="34">
        <f>SUM(I49,I46,I42,I39,I34,I32,I28,I20,I15,I11)</f>
        <v>214</v>
      </c>
      <c r="J50" s="36">
        <f t="shared" si="2"/>
        <v>55.297157622739014</v>
      </c>
      <c r="K50" s="39">
        <f>SUM(K49,K46,K42,K39,K34,K32,K28,K20,K15,K11)</f>
        <v>347</v>
      </c>
      <c r="L50" s="39">
        <f>SUM(L49,L46,L42,L39,L34,L32,L28,L20,L15,L11)</f>
        <v>201</v>
      </c>
      <c r="M50" s="40">
        <f t="shared" si="3"/>
        <v>57.925072046109513</v>
      </c>
      <c r="N50" s="39">
        <f>SUM(N49,N46,N42,N39,N34,N32,N28,N20,N15,N11)</f>
        <v>347</v>
      </c>
      <c r="O50" s="39">
        <f>SUM(O49,O46,O42,O39,O34,O32,O28,O20,O15,O11)</f>
        <v>201</v>
      </c>
      <c r="P50" s="40">
        <f t="shared" si="4"/>
        <v>57.925072046109513</v>
      </c>
      <c r="Q50" s="37">
        <f>SUM(Q49,Q46,Q42,Q39,Q34,Q32,Q28,Q20,Q15,Q11)</f>
        <v>0</v>
      </c>
      <c r="R50" s="37">
        <f>SUM(R49,R46,R42,R39,R34,R32,R28,R20,R15,R11)</f>
        <v>0</v>
      </c>
      <c r="S50" s="25" t="e">
        <f t="shared" si="5"/>
        <v>#DIV/0!</v>
      </c>
    </row>
    <row r="51" spans="1:19" ht="15.75" thickBot="1">
      <c r="Q51" s="53">
        <v>1596</v>
      </c>
      <c r="R51" s="54">
        <v>1396</v>
      </c>
      <c r="S51" s="55">
        <f>R51/Q51*100</f>
        <v>87.468671679197996</v>
      </c>
    </row>
  </sheetData>
  <mergeCells count="22">
    <mergeCell ref="S6:S7"/>
    <mergeCell ref="Q5:S5"/>
    <mergeCell ref="B6:B7"/>
    <mergeCell ref="C6:C7"/>
    <mergeCell ref="D6:D7"/>
    <mergeCell ref="E6:E7"/>
    <mergeCell ref="F6:F7"/>
    <mergeCell ref="G6:G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A4:P4"/>
    <mergeCell ref="A5:A7"/>
    <mergeCell ref="B5:D5"/>
    <mergeCell ref="E5:J5"/>
    <mergeCell ref="K5:P5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2315</TotalTime>
  <Application>LibreOffice/7.3.2.2$Linux_X86_64 LibreOffice_project/30$Build-2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1234</cp:lastModifiedBy>
  <cp:revision>33</cp:revision>
  <cp:lastPrinted>2024-10-08T10:20:18Z</cp:lastPrinted>
  <dcterms:created xsi:type="dcterms:W3CDTF">2024-10-08T09:52:10Z</dcterms:created>
  <dcterms:modified xsi:type="dcterms:W3CDTF">2025-02-12T10:28:41Z</dcterms:modified>
  <dc:language>fr-FR</dc:language>
</cp:coreProperties>
</file>