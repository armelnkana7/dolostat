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6" rupBuild="4505"/>
  <workbookPr defaultThemeVersion="153222"/>
  <bookViews>
    <workbookView xWindow="0" yWindow="0" windowWidth="14175" windowHeight="6210" activeTab="0"/>
  </bookViews>
  <sheets>
    <sheet name="Feuil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<sst xmlns="http://schemas.openxmlformats.org/spreadsheetml/2006/main" uniqueCount="38" count="38">
  <si>
    <t>DISCIPLINES / SPECIALITES/ETABLISSEMENTS</t>
  </si>
  <si>
    <t>COUVERTURE DES HEURES</t>
  </si>
  <si>
    <t>COUVERTURE DES PROGRAMMES</t>
  </si>
  <si>
    <t>HEURES DUES</t>
  </si>
  <si>
    <t>HEURES FAITES</t>
  </si>
  <si>
    <t>%</t>
  </si>
  <si>
    <t xml:space="preserve">NBRE DE LEÇONS PREVUS </t>
  </si>
  <si>
    <t>NBRE DE LEÇONS FAITES</t>
  </si>
  <si>
    <t xml:space="preserve">TOTAL </t>
  </si>
  <si>
    <t>REALISATION DES TRAVAUX PRATIQUES</t>
  </si>
  <si>
    <t>Nbre de TP prévus</t>
  </si>
  <si>
    <t>Nbre de TP réalisés</t>
  </si>
  <si>
    <t>Nbre de TP digitalisés prévus</t>
  </si>
  <si>
    <t>Nbre de TP digitalisés réalisés</t>
  </si>
  <si>
    <t>SYNTHÈSE - INDICATEURS PEDAGOGIQUES-EST</t>
  </si>
  <si>
    <t>Nbre d'élèves ayant composé</t>
  </si>
  <si>
    <t>Nbre de moy ≥ 10/20</t>
  </si>
  <si>
    <t>% de réussite</t>
  </si>
  <si>
    <t>TAUX DE REUSSITE</t>
  </si>
  <si>
    <t>NBRE DE LEÇONS DIGITALISEES FAITES</t>
  </si>
  <si>
    <t>NBRE DE LEÇONS DIGITALISEES PREVUES</t>
  </si>
  <si>
    <t>Français</t>
  </si>
  <si>
    <t>Anglais</t>
  </si>
  <si>
    <t>Allemand</t>
  </si>
  <si>
    <t>Philosophie</t>
  </si>
  <si>
    <t>Espagnol</t>
  </si>
  <si>
    <t>Chinois</t>
  </si>
  <si>
    <t>ECM</t>
  </si>
  <si>
    <t>Histoire-Geo</t>
  </si>
  <si>
    <t>Maths</t>
  </si>
  <si>
    <t>Physique</t>
  </si>
  <si>
    <t>Chimie</t>
  </si>
  <si>
    <t>Informatique</t>
  </si>
  <si>
    <t>Int. English</t>
  </si>
  <si>
    <t>Latin</t>
  </si>
  <si>
    <t>PCT</t>
  </si>
  <si>
    <t>SVTEEHB</t>
  </si>
  <si>
    <t>EPS</t>
  </si>
</sst>
</file>

<file path=xl/styles.xml><?xml version="1.0" encoding="utf-8"?>
<styleSheet xmlns="http://schemas.openxmlformats.org/spreadsheetml/2006/main">
  <numFmts count="5">
    <numFmt numFmtId="0" formatCode="General"/>
    <numFmt numFmtId="10" formatCode="0.00%"/>
    <numFmt numFmtId="2" formatCode="0.00"/>
    <numFmt numFmtId="3" formatCode="#,##0"/>
    <numFmt numFmtId="9" formatCode="0%"/>
  </numFmts>
  <fonts count="13">
    <font>
      <name val="Calibri"/>
      <sz val="11"/>
    </font>
    <font>
      <name val="Agency FB"/>
      <b/>
      <sz val="16"/>
      <color rgb="FF000000"/>
    </font>
    <font>
      <name val="Arial Narrow"/>
      <b/>
      <sz val="9"/>
      <color rgb="FF000000"/>
    </font>
    <font>
      <name val="Arial Narrow"/>
      <b/>
      <sz val="9"/>
    </font>
    <font>
      <name val="Arial Narrow"/>
      <b/>
      <sz val="10"/>
      <color rgb="FF000000"/>
    </font>
    <font>
      <name val="Agency FB"/>
      <b/>
      <sz val="12"/>
      <color rgb="FF000000"/>
    </font>
    <font>
      <name val="Arial Narrow"/>
      <sz val="11"/>
      <color rgb="FF000000"/>
    </font>
    <font>
      <name val="Arial Narrow"/>
      <sz val="11"/>
    </font>
    <font>
      <name val="Agency FB"/>
      <b/>
      <sz val="11"/>
      <color rgb="FF000000"/>
    </font>
    <font>
      <name val="Agency FB"/>
      <b/>
      <i/>
      <sz val="11"/>
      <color rgb="FF000000"/>
    </font>
    <font>
      <name val="Arial Narrow"/>
      <b/>
      <sz val="11"/>
      <color rgb="FF000000"/>
    </font>
    <font>
      <name val="Arial Narrow"/>
      <b/>
      <sz val="11"/>
    </font>
    <font>
      <name val="Calibri"/>
      <sz val="11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2" fillId="0" borderId="0">
      <alignment vertical="top"/>
      <protection locked="0" hidden="0"/>
    </xf>
  </cellStyleXfs>
  <cellXfs count="2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bottom"/>
    </xf>
    <xf numFmtId="0" fontId="7" fillId="0" borderId="1" xfId="1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2" fontId="11" fillId="3" borderId="1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bottom"/>
    </xf>
    <xf numFmtId="0" fontId="11" fillId="3" borderId="1" xfId="1" applyNumberFormat="1" applyFont="1" applyFill="1" applyBorder="1" applyAlignment="1">
      <alignment horizontal="center" vertical="center"/>
    </xf>
  </cellXfs>
  <cellStyles count="2">
    <cellStyle name="常规" xfId="0" builtinId="0"/>
    <cellStyle name="百分比" xfId="1" builtinId="5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21"/>
  <sheetViews>
    <sheetView tabSelected="1" workbookViewId="0" topLeftCell="A16" zoomScale="160">
      <selection activeCell="H20" sqref="H20"/>
    </sheetView>
  </sheetViews>
  <sheetFormatPr defaultRowHeight="15.0" defaultColWidth="10"/>
  <cols>
    <col min="4" max="4" customWidth="1" bestFit="1" width="11.855469" style="0"/>
    <col min="13" max="13" customWidth="1" bestFit="1" width="12.5703125" style="0"/>
    <col min="16" max="16" customWidth="1" bestFit="1" width="11.5703125" style="0"/>
  </cols>
  <sheetData>
    <row r="1" spans="8:8" ht="19.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 t="s">
        <v>0</v>
      </c>
      <c r="B2" s="3" t="s">
        <v>1</v>
      </c>
      <c r="C2" s="3"/>
      <c r="D2" s="3"/>
      <c r="E2" s="2" t="s">
        <v>2</v>
      </c>
      <c r="F2" s="2"/>
      <c r="G2" s="2"/>
      <c r="H2" s="2"/>
      <c r="I2" s="2"/>
      <c r="J2" s="2"/>
      <c r="K2" s="2" t="s">
        <v>9</v>
      </c>
      <c r="L2" s="2"/>
      <c r="M2" s="2"/>
      <c r="N2" s="2"/>
      <c r="O2" s="2"/>
      <c r="P2" s="2"/>
      <c r="Q2" s="4" t="s">
        <v>18</v>
      </c>
      <c r="R2" s="4"/>
      <c r="S2" s="4"/>
    </row>
    <row r="3" spans="8:8" ht="54.0">
      <c r="A3" s="2"/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5</v>
      </c>
      <c r="H3" s="5" t="s">
        <v>20</v>
      </c>
      <c r="I3" s="5" t="s">
        <v>19</v>
      </c>
      <c r="J3" s="5" t="s">
        <v>5</v>
      </c>
      <c r="K3" s="6" t="s">
        <v>10</v>
      </c>
      <c r="L3" s="6" t="s">
        <v>11</v>
      </c>
      <c r="M3" s="7" t="s">
        <v>5</v>
      </c>
      <c r="N3" s="6" t="s">
        <v>12</v>
      </c>
      <c r="O3" s="6" t="s">
        <v>13</v>
      </c>
      <c r="P3" s="7" t="s">
        <v>5</v>
      </c>
      <c r="Q3" s="8" t="s">
        <v>15</v>
      </c>
      <c r="R3" s="9" t="s">
        <v>16</v>
      </c>
      <c r="S3" s="8" t="s">
        <v>17</v>
      </c>
    </row>
    <row r="4" spans="8:8" ht="15.0">
      <c r="A4" s="10" t="s">
        <v>21</v>
      </c>
      <c r="B4" s="11">
        <v>3720.0</v>
      </c>
      <c r="C4" s="11">
        <v>1215.0</v>
      </c>
      <c r="D4" s="12">
        <f>IF(B4=0,"",(C4/B4)*100)</f>
        <v>32.66129032258064</v>
      </c>
      <c r="E4" s="13">
        <v>3720.0</v>
      </c>
      <c r="F4" s="13">
        <v>1215.0</v>
      </c>
      <c r="G4" s="12">
        <f>IF(E4=0,"",(F4/E4)*100)</f>
        <v>32.66129032258064</v>
      </c>
      <c r="H4" s="13">
        <v>156.0</v>
      </c>
      <c r="I4" s="13">
        <v>39.0</v>
      </c>
      <c r="J4" s="12">
        <f>IF(H4=0,"",(I4/H4)*100)</f>
        <v>25.0</v>
      </c>
      <c r="K4" s="14"/>
      <c r="L4" s="14"/>
      <c r="M4" s="12" t="str">
        <f>IF(K4=0,"",(L4/K4)*100)</f>
        <v/>
      </c>
      <c r="N4" s="14"/>
      <c r="O4" s="14"/>
      <c r="P4" s="12" t="str">
        <f>IF(N4=0,"",(O4/N4)*100)</f>
        <v/>
      </c>
      <c r="Q4" s="15"/>
      <c r="R4" s="15"/>
      <c r="S4" s="12" t="str">
        <f>IF(Q4=0,"",(R4/Q4)*100)</f>
        <v/>
      </c>
    </row>
    <row r="5" spans="8:8" ht="15.0">
      <c r="A5" s="10" t="s">
        <v>22</v>
      </c>
      <c r="B5" s="16">
        <v>2100.0</v>
      </c>
      <c r="C5" s="11">
        <v>629.0</v>
      </c>
      <c r="D5" s="12">
        <f t="shared" si="0" ref="D5:D20">IF(B5=0,"",(C5/B5)*100)</f>
        <v>29.952380952380953</v>
      </c>
      <c r="E5" s="13">
        <v>1475.0</v>
      </c>
      <c r="F5" s="13">
        <v>455.0</v>
      </c>
      <c r="G5" s="12">
        <f t="shared" si="1" ref="G5:G20">IF(E5=0,"",(F5/E5)*100)</f>
        <v>30.847457627118647</v>
      </c>
      <c r="H5" s="13">
        <v>120.0</v>
      </c>
      <c r="I5" s="13">
        <v>27.0</v>
      </c>
      <c r="J5" s="12">
        <f t="shared" si="2" ref="J5:J20">IF(H5=0,"",(I5/H5)*100)</f>
        <v>22.5</v>
      </c>
      <c r="K5" s="14"/>
      <c r="L5" s="14"/>
      <c r="M5" s="12" t="str">
        <f t="shared" si="3" ref="M5:M20">IF(K5=0,"",(L5/K5)*100)</f>
        <v/>
      </c>
      <c r="N5" s="14"/>
      <c r="O5" s="14"/>
      <c r="P5" s="12" t="str">
        <f t="shared" si="4" ref="P5:P21">IF(N5=0,"",(O5/N5)*100)</f>
        <v/>
      </c>
      <c r="Q5" s="15"/>
      <c r="R5" s="15"/>
      <c r="S5" s="12" t="str">
        <f t="shared" si="5" ref="S5:S20">IF(Q5=0,"",(R5/Q5)*100)</f>
        <v/>
      </c>
    </row>
    <row r="6" spans="8:8" ht="15.0">
      <c r="A6" s="10" t="s">
        <v>33</v>
      </c>
      <c r="B6" s="16">
        <v>625.0</v>
      </c>
      <c r="C6" s="11">
        <v>115.0</v>
      </c>
      <c r="D6" s="12">
        <f t="shared" si="0"/>
        <v>18.4</v>
      </c>
      <c r="E6" s="13">
        <v>375.0</v>
      </c>
      <c r="F6" s="13">
        <v>69.0</v>
      </c>
      <c r="G6" s="12">
        <f t="shared" si="1"/>
        <v>18.4</v>
      </c>
      <c r="H6" s="13">
        <v>50.0</v>
      </c>
      <c r="I6" s="13">
        <v>5.0</v>
      </c>
      <c r="J6" s="12">
        <f t="shared" si="2"/>
        <v>10.0</v>
      </c>
      <c r="K6" s="14"/>
      <c r="L6" s="14"/>
      <c r="M6" s="12" t="str">
        <f t="shared" si="3"/>
        <v/>
      </c>
      <c r="N6" s="14"/>
      <c r="O6" s="14"/>
      <c r="P6" s="12" t="str">
        <f t="shared" si="4"/>
        <v/>
      </c>
      <c r="Q6" s="15"/>
      <c r="R6" s="15"/>
      <c r="S6" s="12" t="str">
        <f t="shared" si="5"/>
        <v/>
      </c>
    </row>
    <row r="7" spans="8:8" ht="15.0">
      <c r="A7" s="10" t="s">
        <v>25</v>
      </c>
      <c r="B7" s="16">
        <v>900.0</v>
      </c>
      <c r="C7" s="11">
        <v>116.0</v>
      </c>
      <c r="D7" s="12">
        <f t="shared" si="0"/>
        <v>12.88888888888889</v>
      </c>
      <c r="E7" s="13">
        <v>215.0</v>
      </c>
      <c r="F7" s="13">
        <v>46.0</v>
      </c>
      <c r="G7" s="12">
        <f t="shared" si="1"/>
        <v>21.3953488372093</v>
      </c>
      <c r="H7" s="13">
        <v>12.0</v>
      </c>
      <c r="I7" s="13">
        <v>1.0</v>
      </c>
      <c r="J7" s="12">
        <f t="shared" si="2"/>
        <v>8.333333333333332</v>
      </c>
      <c r="K7" s="14"/>
      <c r="L7" s="14"/>
      <c r="M7" s="12" t="str">
        <f t="shared" si="3"/>
        <v/>
      </c>
      <c r="N7" s="14"/>
      <c r="O7" s="14"/>
      <c r="P7" s="12" t="str">
        <f t="shared" si="4"/>
        <v/>
      </c>
      <c r="Q7" s="15"/>
      <c r="R7" s="15"/>
      <c r="S7" s="12" t="str">
        <f t="shared" si="5"/>
        <v/>
      </c>
    </row>
    <row r="8" spans="8:8" ht="16.5">
      <c r="A8" s="10" t="s">
        <v>23</v>
      </c>
      <c r="B8" s="11">
        <v>468.0</v>
      </c>
      <c r="C8" s="11">
        <v>52.0</v>
      </c>
      <c r="D8" s="12">
        <f t="shared" si="0"/>
        <v>11.11111111111111</v>
      </c>
      <c r="E8" s="13">
        <v>90.0</v>
      </c>
      <c r="F8" s="13">
        <v>9.5</v>
      </c>
      <c r="G8" s="12">
        <f t="shared" si="1"/>
        <v>10.555555555555555</v>
      </c>
      <c r="H8" s="13">
        <v>47.0</v>
      </c>
      <c r="I8" s="13">
        <v>2.0</v>
      </c>
      <c r="J8" s="12">
        <f t="shared" si="2"/>
        <v>4.25531914893617</v>
      </c>
      <c r="K8" s="14"/>
      <c r="L8" s="14"/>
      <c r="M8" s="12" t="str">
        <f t="shared" si="3"/>
        <v/>
      </c>
      <c r="N8" s="14"/>
      <c r="O8" s="14"/>
      <c r="P8" s="12" t="str">
        <f t="shared" si="4"/>
        <v/>
      </c>
      <c r="Q8" s="15"/>
      <c r="R8" s="15"/>
      <c r="S8" s="12" t="str">
        <f t="shared" si="5"/>
        <v/>
      </c>
    </row>
    <row r="9" spans="8:8" ht="15.0">
      <c r="A9" s="10" t="s">
        <v>26</v>
      </c>
      <c r="B9" s="11">
        <v>510.0</v>
      </c>
      <c r="C9" s="11">
        <v>85.0</v>
      </c>
      <c r="D9" s="12">
        <f t="shared" si="0"/>
        <v>16.666666666666664</v>
      </c>
      <c r="E9" s="13">
        <v>86.0</v>
      </c>
      <c r="F9" s="13">
        <v>21.0</v>
      </c>
      <c r="G9" s="12">
        <f t="shared" si="1"/>
        <v>24.418604651162788</v>
      </c>
      <c r="H9" s="13">
        <v>38.0</v>
      </c>
      <c r="I9" s="13">
        <v>3.0</v>
      </c>
      <c r="J9" s="12">
        <f t="shared" si="2"/>
        <v>7.894736842105263</v>
      </c>
      <c r="K9" s="14"/>
      <c r="L9" s="14"/>
      <c r="M9" s="12" t="str">
        <f t="shared" si="3"/>
        <v/>
      </c>
      <c r="N9" s="14"/>
      <c r="O9" s="14"/>
      <c r="P9" s="12" t="str">
        <f t="shared" si="4"/>
        <v/>
      </c>
      <c r="Q9" s="15"/>
      <c r="R9" s="15"/>
      <c r="S9" s="12" t="str">
        <f t="shared" si="5"/>
        <v/>
      </c>
    </row>
    <row r="10" spans="8:8" ht="15.0">
      <c r="A10" s="10" t="s">
        <v>34</v>
      </c>
      <c r="B10" s="11">
        <v>684.0</v>
      </c>
      <c r="C10" s="11">
        <v>229.0</v>
      </c>
      <c r="D10" s="12">
        <f t="shared" si="0"/>
        <v>33.47953216374269</v>
      </c>
      <c r="E10" s="13">
        <v>390.0</v>
      </c>
      <c r="F10" s="13">
        <v>131.0</v>
      </c>
      <c r="G10" s="12">
        <f t="shared" si="1"/>
        <v>33.589743589743584</v>
      </c>
      <c r="H10" s="13">
        <v>96.0</v>
      </c>
      <c r="I10" s="13">
        <v>8.0</v>
      </c>
      <c r="J10" s="12">
        <f t="shared" si="2"/>
        <v>8.333333333333332</v>
      </c>
      <c r="K10" s="14"/>
      <c r="L10" s="14"/>
      <c r="M10" s="12" t="str">
        <f t="shared" si="3"/>
        <v/>
      </c>
      <c r="N10" s="14"/>
      <c r="O10" s="14"/>
      <c r="P10" s="12" t="str">
        <f t="shared" si="4"/>
        <v/>
      </c>
      <c r="Q10" s="15"/>
      <c r="R10" s="15"/>
      <c r="S10" s="12" t="str">
        <f t="shared" si="5"/>
        <v/>
      </c>
    </row>
    <row r="11" spans="8:8" ht="28.1">
      <c r="A11" s="10" t="s">
        <v>24</v>
      </c>
      <c r="B11" s="11">
        <v>908.0</v>
      </c>
      <c r="C11" s="11">
        <v>156.0</v>
      </c>
      <c r="D11" s="12">
        <f t="shared" si="0"/>
        <v>17.180616740088105</v>
      </c>
      <c r="E11" s="13">
        <v>340.0</v>
      </c>
      <c r="F11" s="13">
        <v>82.0</v>
      </c>
      <c r="G11" s="12">
        <f t="shared" si="1"/>
        <v>24.11764705882353</v>
      </c>
      <c r="H11" s="13"/>
      <c r="I11" s="13"/>
      <c r="J11" s="12" t="str">
        <f t="shared" si="2"/>
        <v/>
      </c>
      <c r="K11" s="14"/>
      <c r="L11" s="14"/>
      <c r="M11" s="12" t="str">
        <f t="shared" si="3"/>
        <v/>
      </c>
      <c r="N11" s="14"/>
      <c r="O11" s="14"/>
      <c r="P11" s="12" t="str">
        <f t="shared" si="4"/>
        <v/>
      </c>
      <c r="Q11" s="17"/>
      <c r="R11" s="17"/>
      <c r="S11" s="12" t="str">
        <f t="shared" si="5"/>
        <v/>
      </c>
    </row>
    <row r="12" spans="8:8" ht="16.5">
      <c r="A12" s="10" t="s">
        <v>28</v>
      </c>
      <c r="B12" s="11">
        <v>3744.0</v>
      </c>
      <c r="C12" s="11">
        <v>470.0</v>
      </c>
      <c r="D12" s="12">
        <f t="shared" si="0"/>
        <v>12.553418803418804</v>
      </c>
      <c r="E12" s="13">
        <v>780.0</v>
      </c>
      <c r="F12" s="13">
        <v>156.0</v>
      </c>
      <c r="G12" s="12">
        <f t="shared" si="1"/>
        <v>20.0</v>
      </c>
      <c r="H12" s="13">
        <v>54.0</v>
      </c>
      <c r="I12" s="13">
        <v>23.0</v>
      </c>
      <c r="J12" s="12">
        <f t="shared" si="2"/>
        <v>42.592592592592595</v>
      </c>
      <c r="K12" s="14"/>
      <c r="L12" s="14"/>
      <c r="M12" s="12" t="str">
        <f t="shared" si="3"/>
        <v/>
      </c>
      <c r="N12" s="14"/>
      <c r="O12" s="14"/>
      <c r="P12" s="12" t="str">
        <f t="shared" si="4"/>
        <v/>
      </c>
      <c r="Q12" s="14"/>
      <c r="R12" s="14"/>
      <c r="S12" s="12" t="str">
        <f t="shared" si="5"/>
        <v/>
      </c>
    </row>
    <row r="13" spans="8:8" ht="15.0">
      <c r="A13" s="10" t="s">
        <v>27</v>
      </c>
      <c r="B13" s="11">
        <v>1656.0</v>
      </c>
      <c r="C13" s="11">
        <v>168.0</v>
      </c>
      <c r="D13" s="12">
        <f t="shared" si="0"/>
        <v>10.144927536231885</v>
      </c>
      <c r="E13" s="13">
        <v>274.0</v>
      </c>
      <c r="F13" s="13">
        <v>137.0</v>
      </c>
      <c r="G13" s="12">
        <f t="shared" si="1"/>
        <v>50.0</v>
      </c>
      <c r="H13" s="13">
        <v>21.0</v>
      </c>
      <c r="I13" s="13">
        <v>7.0</v>
      </c>
      <c r="J13" s="12">
        <f t="shared" si="2"/>
        <v>33.33333333333333</v>
      </c>
      <c r="K13" s="14"/>
      <c r="L13" s="14"/>
      <c r="M13" s="12" t="str">
        <f t="shared" si="3"/>
        <v/>
      </c>
      <c r="N13" s="14"/>
      <c r="O13" s="14"/>
      <c r="P13" s="12" t="str">
        <f t="shared" si="4"/>
        <v/>
      </c>
      <c r="Q13" s="14"/>
      <c r="R13" s="14"/>
      <c r="S13" s="12" t="str">
        <f t="shared" si="5"/>
        <v/>
      </c>
    </row>
    <row r="14" spans="8:8" ht="16.5">
      <c r="A14" s="10" t="s">
        <v>29</v>
      </c>
      <c r="B14" s="11">
        <v>3330.0</v>
      </c>
      <c r="C14" s="11">
        <v>258.0</v>
      </c>
      <c r="D14" s="12">
        <f t="shared" si="0"/>
        <v>7.747747747747748</v>
      </c>
      <c r="E14" s="13">
        <v>1055.0</v>
      </c>
      <c r="F14" s="13">
        <v>165.0</v>
      </c>
      <c r="G14" s="12">
        <f t="shared" si="1"/>
        <v>15.639810426540285</v>
      </c>
      <c r="H14" s="13"/>
      <c r="I14" s="13"/>
      <c r="J14" s="12" t="str">
        <f t="shared" si="2"/>
        <v/>
      </c>
      <c r="K14" s="14"/>
      <c r="L14" s="14"/>
      <c r="M14" s="12" t="str">
        <f t="shared" si="3"/>
        <v/>
      </c>
      <c r="N14" s="14"/>
      <c r="O14" s="14"/>
      <c r="P14" s="12" t="str">
        <f t="shared" si="4"/>
        <v/>
      </c>
      <c r="Q14" s="14"/>
      <c r="R14" s="14"/>
      <c r="S14" s="12" t="str">
        <f t="shared" si="5"/>
        <v/>
      </c>
    </row>
    <row r="15" spans="8:8" ht="15.0">
      <c r="A15" s="10" t="s">
        <v>30</v>
      </c>
      <c r="B15" s="11">
        <v>486.0</v>
      </c>
      <c r="C15" s="11">
        <v>129.0</v>
      </c>
      <c r="D15" s="12">
        <f t="shared" si="0"/>
        <v>26.543209876543212</v>
      </c>
      <c r="E15" s="13">
        <v>109.0</v>
      </c>
      <c r="F15" s="13">
        <v>31.0</v>
      </c>
      <c r="G15" s="12">
        <f t="shared" si="1"/>
        <v>28.440366972477065</v>
      </c>
      <c r="H15" s="13">
        <v>35.0</v>
      </c>
      <c r="I15" s="13">
        <v>6.0</v>
      </c>
      <c r="J15" s="12">
        <f t="shared" si="2"/>
        <v>17.142857142857142</v>
      </c>
      <c r="K15" s="14">
        <v>23.0</v>
      </c>
      <c r="L15" s="14">
        <v>0.0</v>
      </c>
      <c r="M15" s="12">
        <f t="shared" si="3"/>
        <v>0.0</v>
      </c>
      <c r="N15" s="14">
        <v>23.0</v>
      </c>
      <c r="O15" s="14">
        <v>0.0</v>
      </c>
      <c r="P15" s="12">
        <f t="shared" si="4"/>
        <v>0.0</v>
      </c>
      <c r="Q15" s="14"/>
      <c r="R15" s="14"/>
      <c r="S15" s="12" t="str">
        <f t="shared" si="5"/>
        <v/>
      </c>
    </row>
    <row r="16" spans="8:8" ht="15.0">
      <c r="A16" s="10" t="s">
        <v>31</v>
      </c>
      <c r="B16" s="11">
        <v>318.0</v>
      </c>
      <c r="C16" s="11">
        <v>100.0</v>
      </c>
      <c r="D16" s="12">
        <f t="shared" si="0"/>
        <v>31.446540880503143</v>
      </c>
      <c r="E16" s="13">
        <v>51.0</v>
      </c>
      <c r="F16" s="13">
        <v>14.0</v>
      </c>
      <c r="G16" s="12">
        <f t="shared" si="1"/>
        <v>27.450980392156865</v>
      </c>
      <c r="H16" s="13">
        <v>23.0</v>
      </c>
      <c r="I16" s="13">
        <v>5.0</v>
      </c>
      <c r="J16" s="12">
        <f t="shared" si="2"/>
        <v>21.73913043478261</v>
      </c>
      <c r="K16" s="14">
        <v>51.0</v>
      </c>
      <c r="L16" s="14">
        <v>14.0</v>
      </c>
      <c r="M16" s="12">
        <f t="shared" si="3"/>
        <v>27.450980392156865</v>
      </c>
      <c r="N16" s="14">
        <v>51.0</v>
      </c>
      <c r="O16" s="14">
        <v>13.0</v>
      </c>
      <c r="P16" s="12">
        <f t="shared" si="4"/>
        <v>25.49019607843137</v>
      </c>
      <c r="Q16" s="14"/>
      <c r="R16" s="14"/>
      <c r="S16" s="12" t="str">
        <f t="shared" si="5"/>
        <v/>
      </c>
    </row>
    <row r="17" spans="8:8" ht="15.0">
      <c r="A17" s="10" t="s">
        <v>35</v>
      </c>
      <c r="B17" s="11">
        <v>532.0</v>
      </c>
      <c r="C17" s="11">
        <v>149.0</v>
      </c>
      <c r="D17" s="12">
        <f t="shared" si="0"/>
        <v>28.007518796992482</v>
      </c>
      <c r="E17" s="13">
        <v>203.0</v>
      </c>
      <c r="F17" s="13">
        <v>51.0</v>
      </c>
      <c r="G17" s="12">
        <f t="shared" si="1"/>
        <v>25.12315270935961</v>
      </c>
      <c r="H17" s="13">
        <v>99.0</v>
      </c>
      <c r="I17" s="13">
        <v>23.0</v>
      </c>
      <c r="J17" s="12">
        <f t="shared" si="2"/>
        <v>23.232323232323232</v>
      </c>
      <c r="K17" s="14">
        <v>93.0</v>
      </c>
      <c r="L17" s="14">
        <v>36.0</v>
      </c>
      <c r="M17" s="12">
        <f t="shared" si="3"/>
        <v>38.70967741935484</v>
      </c>
      <c r="N17" s="14">
        <v>93.0</v>
      </c>
      <c r="O17" s="14">
        <v>31.0</v>
      </c>
      <c r="P17" s="12">
        <f t="shared" si="4"/>
        <v>33.33333333333333</v>
      </c>
      <c r="Q17" s="14"/>
      <c r="R17" s="14"/>
      <c r="S17" s="12" t="str">
        <f t="shared" si="5"/>
        <v/>
      </c>
    </row>
    <row r="18" spans="8:8" ht="15.0">
      <c r="A18" s="10" t="s">
        <v>36</v>
      </c>
      <c r="B18" s="11">
        <v>1743.0</v>
      </c>
      <c r="C18" s="11">
        <v>441.0</v>
      </c>
      <c r="D18" s="12">
        <f t="shared" si="0"/>
        <v>25.301204819277107</v>
      </c>
      <c r="E18" s="13">
        <v>964.0</v>
      </c>
      <c r="F18" s="13">
        <v>294.0</v>
      </c>
      <c r="G18" s="12">
        <f t="shared" si="1"/>
        <v>30.49792531120332</v>
      </c>
      <c r="H18" s="13">
        <v>693.0</v>
      </c>
      <c r="I18" s="13">
        <v>56.0</v>
      </c>
      <c r="J18" s="12">
        <f t="shared" si="2"/>
        <v>8.080808080808081</v>
      </c>
      <c r="K18" s="14">
        <v>296.0</v>
      </c>
      <c r="L18" s="14">
        <v>31.0</v>
      </c>
      <c r="M18" s="12">
        <f t="shared" si="3"/>
        <v>10.472972972972974</v>
      </c>
      <c r="N18" s="14">
        <v>236.0</v>
      </c>
      <c r="O18" s="14">
        <v>20.0</v>
      </c>
      <c r="P18" s="12">
        <f t="shared" si="4"/>
        <v>8.47457627118644</v>
      </c>
      <c r="Q18" s="14"/>
      <c r="R18" s="14"/>
      <c r="S18" s="12" t="str">
        <f t="shared" si="5"/>
        <v/>
      </c>
    </row>
    <row r="19" spans="8:8" ht="16.5">
      <c r="A19" s="10" t="s">
        <v>32</v>
      </c>
      <c r="B19" s="11">
        <v>350.0</v>
      </c>
      <c r="C19" s="11">
        <v>75.0</v>
      </c>
      <c r="D19" s="12">
        <f t="shared" si="0"/>
        <v>21.428571428571427</v>
      </c>
      <c r="E19" s="13">
        <v>172.0</v>
      </c>
      <c r="F19" s="13">
        <v>28.0</v>
      </c>
      <c r="G19" s="12">
        <f t="shared" si="1"/>
        <v>16.27906976744186</v>
      </c>
      <c r="H19" s="13">
        <v>84.0</v>
      </c>
      <c r="I19" s="13">
        <v>7.0</v>
      </c>
      <c r="J19" s="12">
        <f t="shared" si="2"/>
        <v>8.333333333333332</v>
      </c>
      <c r="K19" s="14"/>
      <c r="L19" s="14"/>
      <c r="M19" s="12" t="str">
        <f t="shared" si="3"/>
        <v/>
      </c>
      <c r="N19" s="14"/>
      <c r="O19" s="14"/>
      <c r="P19" s="12" t="str">
        <f t="shared" si="4"/>
        <v/>
      </c>
      <c r="Q19" s="14"/>
      <c r="R19" s="14"/>
      <c r="S19" s="12" t="str">
        <f t="shared" si="5"/>
        <v/>
      </c>
    </row>
    <row r="20" spans="8:8" ht="15.0">
      <c r="A20" s="18" t="s">
        <v>37</v>
      </c>
      <c r="B20" s="11">
        <v>1248.0</v>
      </c>
      <c r="C20" s="11">
        <v>416.0</v>
      </c>
      <c r="D20" s="12">
        <f t="shared" si="0"/>
        <v>33.33333333333333</v>
      </c>
      <c r="E20" s="13">
        <v>1248.0</v>
      </c>
      <c r="F20" s="13">
        <v>416.0</v>
      </c>
      <c r="G20" s="12">
        <f t="shared" si="1"/>
        <v>33.33333333333333</v>
      </c>
      <c r="H20" s="13"/>
      <c r="I20" s="13"/>
      <c r="J20" s="12" t="str">
        <f t="shared" si="2"/>
        <v/>
      </c>
      <c r="K20" s="14"/>
      <c r="L20" s="14"/>
      <c r="M20" s="12" t="str">
        <f t="shared" si="3"/>
        <v/>
      </c>
      <c r="N20" s="14"/>
      <c r="O20" s="14"/>
      <c r="P20" s="12" t="str">
        <f t="shared" si="4"/>
        <v/>
      </c>
      <c r="Q20" s="14"/>
      <c r="R20" s="14"/>
      <c r="S20" s="12" t="str">
        <f t="shared" si="5"/>
        <v/>
      </c>
    </row>
    <row r="21" spans="8:8" ht="16.5">
      <c r="A21" s="19" t="s">
        <v>8</v>
      </c>
      <c r="B21" s="20">
        <f>SUM(B4:B20)</f>
        <v>23322.0</v>
      </c>
      <c r="C21" s="20">
        <f>SUM(C4:C20)</f>
        <v>4803.0</v>
      </c>
      <c r="D21" s="21">
        <f t="shared" si="6" ref="D5:D21">IF(B21=0,"",(C21/B21)*100)</f>
        <v>20.594288654489322</v>
      </c>
      <c r="E21" s="20">
        <f>SUM(E4:E20)</f>
        <v>11547.0</v>
      </c>
      <c r="F21" s="20">
        <f>SUM(F4:F20)</f>
        <v>3320.5</v>
      </c>
      <c r="G21" s="21">
        <f t="shared" si="7" ref="G5:G21">IF(E21=0,"",(F21/E21)*100)</f>
        <v>28.75638694033082</v>
      </c>
      <c r="H21" s="20">
        <f>SUM(H4:H20)</f>
        <v>1528.0</v>
      </c>
      <c r="I21" s="20">
        <f>SUM(I4:I20)</f>
        <v>212.0</v>
      </c>
      <c r="J21" s="21">
        <f t="shared" si="8" ref="J5:J21">IF(H21=0,"",(I21/H21)*100)</f>
        <v>13.874345549738221</v>
      </c>
      <c r="K21" s="22">
        <f>K4+K5+K8+K11+K12+K13+K20</f>
        <v>0.0</v>
      </c>
      <c r="L21" s="22">
        <f>L4+L5+L8+L11+L12+L13+L20</f>
        <v>0.0</v>
      </c>
      <c r="M21" s="21" t="str">
        <f t="shared" si="9" ref="M5:M21">IF(K21=0,"",(L21/K21)*100)</f>
        <v/>
      </c>
      <c r="N21" s="22">
        <f>N4+N5+N8+N11+N12+N13+N20</f>
        <v>0.0</v>
      </c>
      <c r="O21" s="22">
        <f>O4+O5+O8+O11+O12+O13+O20</f>
        <v>0.0</v>
      </c>
      <c r="P21" s="21" t="str">
        <f t="shared" si="4"/>
        <v/>
      </c>
      <c r="Q21" s="23">
        <f>SUM(Q4:Q20)</f>
        <v>0.0</v>
      </c>
      <c r="R21" s="23">
        <f>SUM(R4:R20)</f>
        <v>0.0</v>
      </c>
      <c r="S21" s="21" t="str">
        <f>IF(Q21=0,"",(R21/Q21)*100)</f>
        <v/>
      </c>
    </row>
  </sheetData>
  <mergeCells count="6">
    <mergeCell ref="Q2:S2"/>
    <mergeCell ref="K2:P2"/>
    <mergeCell ref="A2:A3"/>
    <mergeCell ref="A1:P1"/>
    <mergeCell ref="B2:D2"/>
    <mergeCell ref="E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KENLE</cp:lastModifiedBy>
  <dcterms:created xsi:type="dcterms:W3CDTF">2024-10-08T08:52:10Z</dcterms:created>
  <dcterms:modified xsi:type="dcterms:W3CDTF">2025-11-18T12:51:50Z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2a623e9c4b31420f9ddffc16d542c4ef</vt:lpwstr>
  </property>
</Properties>
</file>